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書" sheetId="1" state="visible" r:id="rId1"/>
    <sheet name="データ" sheetId="2" state="visible" r:id="rId2"/>
  </sheets>
  <definedNames>
    <definedName name="_xlnm.Print_Area" localSheetId="0">'見積書'!$A$1:$G$72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20"/>
    </font>
    <font>
      <b val="1"/>
      <sz val="12"/>
    </font>
    <font>
      <b val="1"/>
      <sz val="18"/>
    </font>
    <font>
      <b val="1"/>
      <sz val="11"/>
    </font>
    <font>
      <b val="1"/>
      <sz val="16"/>
    </font>
    <font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D6DCE4"/>
        <bgColor rgb="00D6DC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1" fillId="4" borderId="2" applyAlignment="1" pivotButton="0" quotePrefix="0" xfId="0">
      <alignment horizontal="center" vertical="center"/>
    </xf>
    <xf numFmtId="0" fontId="0" fillId="0" borderId="2" pivotButton="0" quotePrefix="0" xfId="0"/>
    <xf numFmtId="164" fontId="5" fillId="4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/>
    </xf>
    <xf numFmtId="0" fontId="6" fillId="5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1" applyAlignment="1" pivotButton="0" quotePrefix="0" xfId="0">
      <alignment horizontal="right"/>
    </xf>
    <xf numFmtId="164" fontId="6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" fillId="4" borderId="2" applyAlignment="1" pivotButton="0" quotePrefix="0" xfId="0">
      <alignment horizontal="right" vertical="center"/>
    </xf>
    <xf numFmtId="164" fontId="7" fillId="4" borderId="2" pivotButton="0" quotePrefix="0" xfId="0"/>
    <xf numFmtId="0" fontId="6" fillId="0" borderId="0" pivotButton="0" quotePrefix="0" xfId="0"/>
    <xf numFmtId="0" fontId="0" fillId="3" borderId="1" applyAlignment="1" pivotButton="0" quotePrefix="0" xfId="0">
      <alignment vertical="top" wrapText="1"/>
    </xf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71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12" customWidth="1" min="4" max="4"/>
    <col width="14" customWidth="1" min="5" max="5"/>
    <col width="16" customWidth="1" min="6" max="6"/>
    <col width="3" customWidth="1" min="7" max="7"/>
  </cols>
  <sheetData>
    <row r="2">
      <c r="B2" s="1" t="inlineStr">
        <is>
          <t>御　見　積　書</t>
        </is>
      </c>
    </row>
    <row r="3">
      <c r="E3" t="inlineStr">
        <is>
          <t>見積日:</t>
        </is>
      </c>
      <c r="F3" s="2" t="inlineStr"/>
    </row>
    <row r="4">
      <c r="E4" t="inlineStr">
        <is>
          <t>見積No:</t>
        </is>
      </c>
      <c r="F4" s="2" t="inlineStr"/>
    </row>
    <row r="6">
      <c r="B6" t="inlineStr">
        <is>
          <t>お客様名:</t>
        </is>
      </c>
      <c r="C6" s="2" t="inlineStr"/>
      <c r="E6" s="3" t="inlineStr">
        <is>
          <t>カトモーター</t>
        </is>
      </c>
    </row>
    <row r="7">
      <c r="B7" t="inlineStr">
        <is>
          <t>〒</t>
        </is>
      </c>
      <c r="C7" s="2" t="inlineStr"/>
    </row>
    <row r="8">
      <c r="B8" t="inlineStr">
        <is>
          <t>ご住所:</t>
        </is>
      </c>
      <c r="C8" s="2" t="inlineStr"/>
    </row>
    <row r="9">
      <c r="B9" t="inlineStr">
        <is>
          <t>TEL:</t>
        </is>
      </c>
      <c r="C9" s="2" t="inlineStr"/>
    </row>
    <row r="11">
      <c r="B11" s="4" t="inlineStr">
        <is>
          <t>お見積り金額</t>
        </is>
      </c>
      <c r="C11" s="5" t="n"/>
      <c r="D11" s="6">
        <f>F61</f>
        <v/>
      </c>
      <c r="E11" s="5" t="n"/>
      <c r="F11" s="5" t="n"/>
    </row>
    <row r="13">
      <c r="B13" s="7" t="inlineStr">
        <is>
          <t>No.</t>
        </is>
      </c>
      <c r="C13" s="7" t="inlineStr">
        <is>
          <t>項目</t>
        </is>
      </c>
      <c r="D13" s="7" t="inlineStr">
        <is>
          <t>数量</t>
        </is>
      </c>
      <c r="E13" s="7" t="inlineStr">
        <is>
          <t>単価</t>
        </is>
      </c>
      <c r="F13" s="7" t="inlineStr">
        <is>
          <t>金額</t>
        </is>
      </c>
    </row>
    <row r="14">
      <c r="B14" s="8" t="inlineStr">
        <is>
          <t>【車両本体】</t>
        </is>
      </c>
    </row>
    <row r="15">
      <c r="B15" s="9" t="n">
        <v>1</v>
      </c>
      <c r="C15" s="2" t="inlineStr"/>
      <c r="D15" s="9" t="n">
        <v>1</v>
      </c>
      <c r="E15" s="10">
        <f>IFERROR(VLOOKUP(C15,データ!$A$3:$F$100,6,FALSE),0)</f>
        <v/>
      </c>
      <c r="F15" s="10">
        <f>D15*E15</f>
        <v/>
      </c>
    </row>
    <row r="17">
      <c r="B17" s="8" t="inlineStr">
        <is>
          <t>【オプション装備】</t>
        </is>
      </c>
    </row>
    <row r="18">
      <c r="B18" s="9" t="n">
        <v>2</v>
      </c>
      <c r="C18" s="2" t="inlineStr"/>
      <c r="D18" s="2" t="inlineStr"/>
      <c r="E18" s="10">
        <f>IFERROR(VLOOKUP(C18,データ!$M$3:$O$200,3,FALSE),0)</f>
        <v/>
      </c>
      <c r="F18" s="10">
        <f>IF(D18="",0,D18*E18)</f>
        <v/>
      </c>
    </row>
    <row r="19">
      <c r="B19" s="9" t="n">
        <v>3</v>
      </c>
      <c r="C19" s="2" t="inlineStr"/>
      <c r="D19" s="2" t="inlineStr"/>
      <c r="E19" s="10">
        <f>IFERROR(VLOOKUP(C19,データ!$M$3:$O$200,3,FALSE),0)</f>
        <v/>
      </c>
      <c r="F19" s="10">
        <f>IF(D19="",0,D19*E19)</f>
        <v/>
      </c>
    </row>
    <row r="20">
      <c r="B20" s="9" t="n">
        <v>4</v>
      </c>
      <c r="C20" s="2" t="inlineStr"/>
      <c r="D20" s="2" t="inlineStr"/>
      <c r="E20" s="10">
        <f>IFERROR(VLOOKUP(C20,データ!$M$3:$O$200,3,FALSE),0)</f>
        <v/>
      </c>
      <c r="F20" s="10">
        <f>IF(D20="",0,D20*E20)</f>
        <v/>
      </c>
    </row>
    <row r="21">
      <c r="B21" s="9" t="n">
        <v>5</v>
      </c>
      <c r="C21" s="2" t="inlineStr"/>
      <c r="D21" s="2" t="inlineStr"/>
      <c r="E21" s="10">
        <f>IFERROR(VLOOKUP(C21,データ!$M$3:$O$200,3,FALSE),0)</f>
        <v/>
      </c>
      <c r="F21" s="10">
        <f>IF(D21="",0,D21*E21)</f>
        <v/>
      </c>
    </row>
    <row r="22">
      <c r="B22" s="9" t="n">
        <v>6</v>
      </c>
      <c r="C22" s="2" t="inlineStr"/>
      <c r="D22" s="2" t="inlineStr"/>
      <c r="E22" s="10">
        <f>IFERROR(VLOOKUP(C22,データ!$M$3:$O$200,3,FALSE),0)</f>
        <v/>
      </c>
      <c r="F22" s="10">
        <f>IF(D22="",0,D22*E22)</f>
        <v/>
      </c>
    </row>
    <row r="23">
      <c r="B23" s="9" t="n">
        <v>7</v>
      </c>
      <c r="C23" s="2" t="inlineStr"/>
      <c r="D23" s="2" t="inlineStr"/>
      <c r="E23" s="10">
        <f>IFERROR(VLOOKUP(C23,データ!$M$3:$O$200,3,FALSE),0)</f>
        <v/>
      </c>
      <c r="F23" s="10">
        <f>IF(D23="",0,D23*E23)</f>
        <v/>
      </c>
    </row>
    <row r="24">
      <c r="B24" s="9" t="n">
        <v>8</v>
      </c>
      <c r="C24" s="2" t="inlineStr"/>
      <c r="D24" s="2" t="inlineStr"/>
      <c r="E24" s="10">
        <f>IFERROR(VLOOKUP(C24,データ!$M$3:$O$200,3,FALSE),0)</f>
        <v/>
      </c>
      <c r="F24" s="10">
        <f>IF(D24="",0,D24*E24)</f>
        <v/>
      </c>
    </row>
    <row r="25">
      <c r="B25" s="9" t="n">
        <v>9</v>
      </c>
      <c r="C25" s="2" t="inlineStr"/>
      <c r="D25" s="2" t="inlineStr"/>
      <c r="E25" s="10">
        <f>IFERROR(VLOOKUP(C25,データ!$M$3:$O$200,3,FALSE),0)</f>
        <v/>
      </c>
      <c r="F25" s="10">
        <f>IF(D25="",0,D25*E25)</f>
        <v/>
      </c>
    </row>
    <row r="26">
      <c r="B26" s="9" t="n">
        <v>10</v>
      </c>
      <c r="C26" s="2" t="inlineStr"/>
      <c r="D26" s="2" t="inlineStr"/>
      <c r="E26" s="10">
        <f>IFERROR(VLOOKUP(C26,データ!$M$3:$O$200,3,FALSE),0)</f>
        <v/>
      </c>
      <c r="F26" s="10">
        <f>IF(D26="",0,D26*E26)</f>
        <v/>
      </c>
    </row>
    <row r="27">
      <c r="B27" s="9" t="n">
        <v>11</v>
      </c>
      <c r="C27" s="2" t="inlineStr"/>
      <c r="D27" s="2" t="inlineStr"/>
      <c r="E27" s="10">
        <f>IFERROR(VLOOKUP(C27,データ!$M$3:$O$200,3,FALSE),0)</f>
        <v/>
      </c>
      <c r="F27" s="10">
        <f>IF(D27="",0,D27*E27)</f>
        <v/>
      </c>
    </row>
    <row r="28">
      <c r="B28" s="9" t="n">
        <v>12</v>
      </c>
      <c r="C28" s="2" t="inlineStr"/>
      <c r="D28" s="2" t="inlineStr"/>
      <c r="E28" s="10">
        <f>IFERROR(VLOOKUP(C28,データ!$M$3:$O$200,3,FALSE),0)</f>
        <v/>
      </c>
      <c r="F28" s="10">
        <f>IF(D28="",0,D28*E28)</f>
        <v/>
      </c>
    </row>
    <row r="29">
      <c r="B29" s="9" t="n">
        <v>13</v>
      </c>
      <c r="C29" s="2" t="inlineStr"/>
      <c r="D29" s="2" t="inlineStr"/>
      <c r="E29" s="10">
        <f>IFERROR(VLOOKUP(C29,データ!$M$3:$O$200,3,FALSE),0)</f>
        <v/>
      </c>
      <c r="F29" s="10">
        <f>IF(D29="",0,D29*E29)</f>
        <v/>
      </c>
    </row>
    <row r="30">
      <c r="B30" s="9" t="n">
        <v>14</v>
      </c>
      <c r="C30" s="2" t="inlineStr"/>
      <c r="D30" s="2" t="inlineStr"/>
      <c r="E30" s="10">
        <f>IFERROR(VLOOKUP(C30,データ!$M$3:$O$200,3,FALSE),0)</f>
        <v/>
      </c>
      <c r="F30" s="10">
        <f>IF(D30="",0,D30*E30)</f>
        <v/>
      </c>
    </row>
    <row r="31">
      <c r="B31" s="9" t="n">
        <v>15</v>
      </c>
      <c r="C31" s="2" t="inlineStr"/>
      <c r="D31" s="2" t="inlineStr"/>
      <c r="E31" s="10">
        <f>IFERROR(VLOOKUP(C31,データ!$M$3:$O$200,3,FALSE),0)</f>
        <v/>
      </c>
      <c r="F31" s="10">
        <f>IF(D31="",0,D31*E31)</f>
        <v/>
      </c>
    </row>
    <row r="32">
      <c r="B32" s="9" t="n">
        <v>16</v>
      </c>
      <c r="C32" s="2" t="inlineStr"/>
      <c r="D32" s="2" t="inlineStr"/>
      <c r="E32" s="10">
        <f>IFERROR(VLOOKUP(C32,データ!$M$3:$O$200,3,FALSE),0)</f>
        <v/>
      </c>
      <c r="F32" s="10">
        <f>IF(D32="",0,D32*E32)</f>
        <v/>
      </c>
    </row>
    <row r="33">
      <c r="B33" s="9" t="n">
        <v>17</v>
      </c>
      <c r="C33" s="2" t="inlineStr"/>
      <c r="D33" s="2" t="inlineStr"/>
      <c r="E33" s="10">
        <f>IFERROR(VLOOKUP(C33,データ!$M$3:$O$200,3,FALSE),0)</f>
        <v/>
      </c>
      <c r="F33" s="10">
        <f>IF(D33="",0,D33*E33)</f>
        <v/>
      </c>
    </row>
    <row r="34">
      <c r="B34" s="9" t="n">
        <v>18</v>
      </c>
      <c r="C34" s="2" t="inlineStr"/>
      <c r="D34" s="2" t="inlineStr"/>
      <c r="E34" s="10">
        <f>IFERROR(VLOOKUP(C34,データ!$M$3:$O$200,3,FALSE),0)</f>
        <v/>
      </c>
      <c r="F34" s="10">
        <f>IF(D34="",0,D34*E34)</f>
        <v/>
      </c>
    </row>
    <row r="35">
      <c r="B35" s="9" t="n">
        <v>19</v>
      </c>
      <c r="C35" s="2" t="inlineStr"/>
      <c r="D35" s="2" t="inlineStr"/>
      <c r="E35" s="10">
        <f>IFERROR(VLOOKUP(C35,データ!$M$3:$O$200,3,FALSE),0)</f>
        <v/>
      </c>
      <c r="F35" s="10">
        <f>IF(D35="",0,D35*E35)</f>
        <v/>
      </c>
    </row>
    <row r="36">
      <c r="B36" s="9" t="n">
        <v>20</v>
      </c>
      <c r="C36" s="2" t="inlineStr"/>
      <c r="D36" s="2" t="inlineStr"/>
      <c r="E36" s="10">
        <f>IFERROR(VLOOKUP(C36,データ!$M$3:$O$200,3,FALSE),0)</f>
        <v/>
      </c>
      <c r="F36" s="10">
        <f>IF(D36="",0,D36*E36)</f>
        <v/>
      </c>
    </row>
    <row r="37">
      <c r="B37" s="9" t="n">
        <v>21</v>
      </c>
      <c r="C37" s="2" t="inlineStr"/>
      <c r="D37" s="2" t="inlineStr"/>
      <c r="E37" s="10">
        <f>IFERROR(VLOOKUP(C37,データ!$M$3:$O$200,3,FALSE),0)</f>
        <v/>
      </c>
      <c r="F37" s="10">
        <f>IF(D37="",0,D37*E37)</f>
        <v/>
      </c>
    </row>
    <row r="38">
      <c r="B38" s="11" t="inlineStr">
        <is>
          <t>オプション小計</t>
        </is>
      </c>
      <c r="C38" s="9" t="n"/>
      <c r="D38" s="9" t="n"/>
      <c r="E38" s="9" t="n"/>
      <c r="F38" s="12">
        <f>SUM(F18:F37)</f>
        <v/>
      </c>
    </row>
    <row r="40">
      <c r="B40" s="8" t="inlineStr">
        <is>
          <t>【税金・諸費用】</t>
        </is>
      </c>
    </row>
    <row r="41">
      <c r="C41" t="inlineStr">
        <is>
          <t>環境性能割</t>
        </is>
      </c>
      <c r="F41" s="10">
        <f>IFERROR(VLOOKUP(C15,データ!$A$3:$G$100,7,FALSE),0)</f>
        <v/>
      </c>
    </row>
    <row r="42">
      <c r="C42" t="inlineStr">
        <is>
          <t>重量税</t>
        </is>
      </c>
      <c r="F42" s="10">
        <f>IFERROR(VLOOKUP(C15,データ!$A$3:$H$100,8,FALSE),0)</f>
        <v/>
      </c>
    </row>
    <row r="43">
      <c r="C43" t="inlineStr">
        <is>
          <t>自賠責保険</t>
        </is>
      </c>
      <c r="F43" s="10">
        <f>IFERROR(VLOOKUP(C15,データ!$A$3:$I$100,9,FALSE),0)</f>
        <v/>
      </c>
    </row>
    <row r="44">
      <c r="C44" t="inlineStr">
        <is>
          <t>登録代行手数料</t>
        </is>
      </c>
      <c r="F44" s="13" t="n">
        <v>35000</v>
      </c>
    </row>
    <row r="45">
      <c r="C45" t="inlineStr">
        <is>
          <t>車庫証明代行手数料</t>
        </is>
      </c>
      <c r="F45" s="13" t="n">
        <v>15000</v>
      </c>
    </row>
    <row r="46">
      <c r="C46" t="inlineStr">
        <is>
          <t>納車費用</t>
        </is>
      </c>
      <c r="F46" s="13" t="n">
        <v>0</v>
      </c>
    </row>
    <row r="47">
      <c r="C47" t="inlineStr">
        <is>
          <t>下取り手数料</t>
        </is>
      </c>
      <c r="F47" s="13" t="n">
        <v>0</v>
      </c>
    </row>
    <row r="48">
      <c r="C48" t="inlineStr">
        <is>
          <t>リサイクル料金</t>
        </is>
      </c>
      <c r="F48" s="13" t="n">
        <v>12000</v>
      </c>
    </row>
    <row r="49">
      <c r="B49" s="11" t="inlineStr">
        <is>
          <t>諸費用小計</t>
        </is>
      </c>
      <c r="C49" s="9" t="n"/>
      <c r="D49" s="9" t="n"/>
      <c r="E49" s="9" t="n"/>
      <c r="F49" s="12">
        <f>SUM(F41:F48)</f>
        <v/>
      </c>
    </row>
    <row r="52">
      <c r="B52" s="8" t="inlineStr">
        <is>
          <t>【下取り・値引き】</t>
        </is>
      </c>
    </row>
    <row r="53">
      <c r="C53" t="inlineStr">
        <is>
          <t>下取り車</t>
        </is>
      </c>
      <c r="F53" s="13" t="n">
        <v>0</v>
      </c>
    </row>
    <row r="54">
      <c r="C54" t="inlineStr">
        <is>
          <t>下取り価格</t>
        </is>
      </c>
      <c r="F54" s="13" t="n">
        <v>0</v>
      </c>
    </row>
    <row r="55">
      <c r="C55" t="inlineStr">
        <is>
          <t>値引き</t>
        </is>
      </c>
      <c r="F55" s="13" t="n">
        <v>0</v>
      </c>
    </row>
    <row r="57">
      <c r="B57" s="14" t="inlineStr">
        <is>
          <t>車両本体・オプション合計（税抜）</t>
        </is>
      </c>
      <c r="C57" s="9" t="n"/>
      <c r="D57" s="9" t="n"/>
      <c r="E57" s="9" t="n"/>
      <c r="F57" s="10">
        <f>F15+F38</f>
        <v/>
      </c>
    </row>
    <row r="58">
      <c r="B58" s="14" t="inlineStr">
        <is>
          <t>消費税（10%）</t>
        </is>
      </c>
      <c r="C58" s="9" t="n"/>
      <c r="D58" s="9" t="n"/>
      <c r="E58" s="9" t="n"/>
      <c r="F58" s="10">
        <f>ROUND(F57*0.1,0)</f>
        <v/>
      </c>
    </row>
    <row r="61">
      <c r="B61" s="15" t="inlineStr">
        <is>
          <t>総合計</t>
        </is>
      </c>
      <c r="C61" s="5" t="n"/>
      <c r="D61" s="5" t="n"/>
      <c r="E61" s="5" t="n"/>
      <c r="F61" s="16">
        <f>F57+F58+F49-F54-F55+F53</f>
        <v/>
      </c>
    </row>
    <row r="63">
      <c r="B63" s="17" t="inlineStr">
        <is>
          <t>備考:</t>
        </is>
      </c>
    </row>
    <row r="64">
      <c r="B64" s="18" t="inlineStr"/>
    </row>
    <row r="65"/>
    <row r="66"/>
    <row r="67"/>
    <row r="68"/>
    <row r="70">
      <c r="B70" s="19" t="inlineStr">
        <is>
          <t>※本見積書の有効期限は発行日より1ヶ月間です。</t>
        </is>
      </c>
    </row>
    <row r="71">
      <c r="B71" s="19" t="inlineStr">
        <is>
          <t>※価格は予告なく変更される場合があります。</t>
        </is>
      </c>
    </row>
  </sheetData>
  <mergeCells count="15">
    <mergeCell ref="D11:F11"/>
    <mergeCell ref="C6:D6"/>
    <mergeCell ref="B2:F2"/>
    <mergeCell ref="C8:F8"/>
    <mergeCell ref="B11:C11"/>
    <mergeCell ref="B57:D57"/>
    <mergeCell ref="B61:D61"/>
    <mergeCell ref="B49:D49"/>
    <mergeCell ref="B58:D58"/>
    <mergeCell ref="B64:F68"/>
    <mergeCell ref="B40:F40"/>
    <mergeCell ref="B14:F14"/>
    <mergeCell ref="B17:F17"/>
    <mergeCell ref="B38:D38"/>
    <mergeCell ref="B52:F52"/>
  </mergeCells>
  <dataValidations count="2">
    <dataValidation sqref="C15" showDropDown="0" showInputMessage="0" showErrorMessage="0" allowBlank="1" errorTitle="無効な入力" error="車両リストから選択してください" type="list">
      <formula1>データ!$A$3:$A$41</formula1>
    </dataValidation>
    <dataValidation sqref="C18 C19 C20 C21 C22 C23 C24 C25 C26 C27 C28 C29 C30 C31 C32 C33 C34 C35 C36 C37" showDropDown="0" showInputMessage="0" showErrorMessage="0" allowBlank="1" errorTitle="無効な入力" error="オプションリストから選択してください" type="list">
      <formula1>データ!$M$3:$M$174</formula1>
    </dataValidation>
  </dataValidations>
  <pageMargins left="0.5" right="0.5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2" max="12"/>
    <col width="50" customWidth="1" min="13" max="13"/>
    <col width="15" customWidth="1" min="14" max="14"/>
    <col width="14" customWidth="1" min="15" max="15"/>
    <col width="20" customWidth="1" min="17" max="17"/>
    <col width="14" customWidth="1" min="18" max="18"/>
  </cols>
  <sheetData>
    <row r="1">
      <c r="A1" s="20" t="inlineStr">
        <is>
          <t>【車両マスタ】</t>
        </is>
      </c>
      <c r="L1" s="20" t="inlineStr">
        <is>
          <t>【オプションマスタ】</t>
        </is>
      </c>
      <c r="Q1" s="20" t="inlineStr">
        <is>
          <t>【諸費用マスタ】</t>
        </is>
      </c>
    </row>
    <row r="2">
      <c r="A2" s="7" t="inlineStr">
        <is>
          <t>車両名</t>
        </is>
      </c>
      <c r="B2" s="7" t="inlineStr">
        <is>
          <t>ベース車</t>
        </is>
      </c>
      <c r="C2" s="7" t="inlineStr">
        <is>
          <t>駆動</t>
        </is>
      </c>
      <c r="D2" s="7" t="inlineStr">
        <is>
          <t>排気量</t>
        </is>
      </c>
      <c r="E2" s="7" t="inlineStr">
        <is>
          <t>燃料</t>
        </is>
      </c>
      <c r="F2" s="7" t="inlineStr">
        <is>
          <t>販売価格</t>
        </is>
      </c>
      <c r="G2" s="7" t="inlineStr">
        <is>
          <t>環境性能割</t>
        </is>
      </c>
      <c r="H2" s="7" t="inlineStr">
        <is>
          <t>重量税</t>
        </is>
      </c>
      <c r="I2" s="7" t="inlineStr">
        <is>
          <t>自賠責</t>
        </is>
      </c>
      <c r="L2" s="7" t="inlineStr">
        <is>
          <t>コード</t>
        </is>
      </c>
      <c r="M2" s="7" t="inlineStr">
        <is>
          <t>オプション名</t>
        </is>
      </c>
      <c r="N2" s="7" t="inlineStr">
        <is>
          <t>カテゴリ</t>
        </is>
      </c>
      <c r="O2" s="7" t="inlineStr">
        <is>
          <t>価格</t>
        </is>
      </c>
      <c r="Q2" s="7" t="inlineStr">
        <is>
          <t>費用名</t>
        </is>
      </c>
      <c r="R2" s="7" t="inlineStr">
        <is>
          <t>金額</t>
        </is>
      </c>
    </row>
    <row r="3">
      <c r="A3" s="9" t="inlineStr">
        <is>
          <t>keymaker         ［ｷｰﾒｲｶｰ］</t>
        </is>
      </c>
      <c r="B3" s="9" t="inlineStr">
        <is>
          <t>ｷｬﾝﾋﾟﾝｸﾞﾄﾚｰﾗｰ　　　　　ﾍﾞｰｽ　KNOTT製</t>
        </is>
      </c>
      <c r="C3" s="9" t="inlineStr">
        <is>
          <t>この欄とＯＰ消して見積</t>
        </is>
      </c>
      <c r="D3" s="9" t="inlineStr"/>
      <c r="E3" s="9" t="inlineStr">
        <is>
          <t>-</t>
        </is>
      </c>
      <c r="F3" s="9" t="n">
        <v>3528000</v>
      </c>
      <c r="G3" s="9" t="n">
        <v>106000</v>
      </c>
      <c r="H3" s="9" t="n">
        <v>8200</v>
      </c>
      <c r="I3" s="9" t="n">
        <v>5440</v>
      </c>
      <c r="L3" s="9" t="inlineStr">
        <is>
          <t>152</t>
        </is>
      </c>
      <c r="M3" s="9" t="inlineStr">
        <is>
          <t>雪国断熱仕様　天井、床、壁内</t>
        </is>
      </c>
      <c r="N3" s="9" t="inlineStr">
        <is>
          <t>一般</t>
        </is>
      </c>
      <c r="O3" s="9" t="n"/>
      <c r="Q3" s="9" t="inlineStr">
        <is>
          <t>登録代行手数料</t>
        </is>
      </c>
      <c r="R3" s="9" t="n">
        <v>35000</v>
      </c>
    </row>
    <row r="4">
      <c r="A4" s="9" t="inlineStr">
        <is>
          <t>sweep　　　　　　　　[ｽｲｰﾌﾟ]</t>
        </is>
      </c>
      <c r="B4" s="9" t="inlineStr">
        <is>
          <t>ﾀｳﾝｴｰｽ　ＧＬ　　　　　2ＷＤ</t>
        </is>
      </c>
      <c r="C4" s="9" t="inlineStr">
        <is>
          <t>2ＷＤ　　ＡＴ</t>
        </is>
      </c>
      <c r="D4" s="9" t="inlineStr">
        <is>
          <t>1500</t>
        </is>
      </c>
      <c r="E4" s="9" t="inlineStr">
        <is>
          <t>ｶﾞｿﾘﾝ</t>
        </is>
      </c>
      <c r="F4" s="9" t="n">
        <v>4007000</v>
      </c>
      <c r="G4" s="9" t="n">
        <v>50600</v>
      </c>
      <c r="H4" s="9" t="n">
        <v>16400</v>
      </c>
      <c r="I4" s="9" t="n">
        <v>20580</v>
      </c>
      <c r="L4" s="9" t="inlineStr">
        <is>
          <t>102</t>
        </is>
      </c>
      <c r="M4" s="9" t="inlineStr">
        <is>
          <t>フロントオーバーヘッドシェルフ</t>
        </is>
      </c>
      <c r="N4" s="9" t="inlineStr">
        <is>
          <t>一般</t>
        </is>
      </c>
      <c r="O4" s="9" t="n"/>
      <c r="Q4" s="9" t="inlineStr">
        <is>
          <t>車庫証明代行手数料</t>
        </is>
      </c>
      <c r="R4" s="9" t="n">
        <v>15000</v>
      </c>
    </row>
    <row r="5">
      <c r="A5" s="9" t="inlineStr">
        <is>
          <t>sweep　　　　　　　　[ｽｲｰﾌﾟ]</t>
        </is>
      </c>
      <c r="B5" s="9" t="inlineStr">
        <is>
          <t>ﾀｳﾝｴｰｽ　ＧＬ　　　　　4ＷＤ</t>
        </is>
      </c>
      <c r="C5" s="9" t="inlineStr">
        <is>
          <t>4ＷＤ　　ＡＴ</t>
        </is>
      </c>
      <c r="D5" s="9" t="inlineStr">
        <is>
          <t>1500</t>
        </is>
      </c>
      <c r="E5" s="9" t="inlineStr">
        <is>
          <t>ｶﾞｿﾘﾝ</t>
        </is>
      </c>
      <c r="F5" s="9" t="n">
        <v>4208000</v>
      </c>
      <c r="G5" s="9" t="n">
        <v>57600</v>
      </c>
      <c r="H5" s="9" t="n">
        <v>16400</v>
      </c>
      <c r="I5" s="9" t="n">
        <v>20580</v>
      </c>
      <c r="L5" s="9" t="inlineStr">
        <is>
          <t>103</t>
        </is>
      </c>
      <c r="M5" s="9" t="inlineStr">
        <is>
          <t>室内カーテン</t>
        </is>
      </c>
      <c r="N5" s="9" t="inlineStr">
        <is>
          <t>一般</t>
        </is>
      </c>
      <c r="O5" s="9" t="n"/>
      <c r="Q5" s="9" t="inlineStr">
        <is>
          <t>納車費用</t>
        </is>
      </c>
      <c r="R5" s="9" t="n">
        <v>0</v>
      </c>
    </row>
    <row r="6">
      <c r="A6" s="9" t="inlineStr">
        <is>
          <t>ﾅﾛｰﾛﾝｸﾞﾄﾚｲﾝ　　　　　ﾊｲｴｰｽ</t>
        </is>
      </c>
      <c r="B6" s="9" t="inlineStr">
        <is>
          <t>標準ﾎﾞﾃﾞｨｰ　ﾛﾝｸﾞ　　　ﾊｲﾙｰﾌDX・GLﾊﾟｯｹｰｼﾞ2000G　2WD</t>
        </is>
      </c>
      <c r="C6" s="9" t="inlineStr">
        <is>
          <t>2ＷＤ　　ＡＴ</t>
        </is>
      </c>
      <c r="D6" s="9" t="inlineStr">
        <is>
          <t>2000</t>
        </is>
      </c>
      <c r="E6" s="9" t="inlineStr">
        <is>
          <t>ｶﾞｿﾘﾝ</t>
        </is>
      </c>
      <c r="F6" s="9" t="n">
        <v>5663000</v>
      </c>
      <c r="G6" s="9" t="n">
        <v>70000</v>
      </c>
      <c r="H6" s="9" t="n">
        <v>24600</v>
      </c>
      <c r="I6" s="9" t="n">
        <v>20580</v>
      </c>
      <c r="L6" s="9" t="inlineStr">
        <is>
          <t>104</t>
        </is>
      </c>
      <c r="M6" s="9" t="inlineStr">
        <is>
          <t>下回り一部　塩害防止塗装(タイヤハウス及び一部不適合)</t>
        </is>
      </c>
      <c r="N6" s="9" t="inlineStr">
        <is>
          <t>一般</t>
        </is>
      </c>
      <c r="O6" s="9" t="n"/>
      <c r="Q6" s="9" t="inlineStr">
        <is>
          <t>下取り手数料</t>
        </is>
      </c>
      <c r="R6" s="9" t="n">
        <v>15000</v>
      </c>
    </row>
    <row r="7">
      <c r="A7" s="9" t="inlineStr">
        <is>
          <t>ﾅﾛｰﾛﾝｸﾞﾄﾚｲﾝ　　　　　ﾊｲｴｰｽ</t>
        </is>
      </c>
      <c r="B7" s="9" t="inlineStr">
        <is>
          <t>標準ﾎﾞﾃﾞｨｰ　ﾛﾝｸﾞ　　ﾊｲﾙｰﾌDX・GLﾊﾟｯｹｰｼﾞ2800D　4WD</t>
        </is>
      </c>
      <c r="C7" s="9" t="inlineStr">
        <is>
          <t>4ＷＤ　　ＡＴ</t>
        </is>
      </c>
      <c r="D7" s="9" t="inlineStr"/>
      <c r="E7" s="9" t="inlineStr">
        <is>
          <t>軽油</t>
        </is>
      </c>
      <c r="F7" s="9" t="n">
        <v>6483000</v>
      </c>
      <c r="G7" s="9" t="n">
        <v>92000</v>
      </c>
      <c r="H7" s="9" t="n">
        <v>24600</v>
      </c>
      <c r="I7" s="9" t="n">
        <v>20580</v>
      </c>
      <c r="L7" s="9" t="inlineStr">
        <is>
          <t>183</t>
        </is>
      </c>
      <c r="M7" s="9" t="inlineStr">
        <is>
          <t>天井　センターウッド＆ドームライト仕様</t>
        </is>
      </c>
      <c r="N7" s="9" t="inlineStr">
        <is>
          <t>一般</t>
        </is>
      </c>
      <c r="O7" s="9" t="n"/>
      <c r="Q7" s="9" t="inlineStr">
        <is>
          <t>リサイクル料金</t>
        </is>
      </c>
      <c r="R7" s="9" t="n">
        <v>12000</v>
      </c>
    </row>
    <row r="8">
      <c r="A8" s="9" t="inlineStr">
        <is>
          <t>ロングトレイン　　　　　ﾊｲｴｰｽ</t>
        </is>
      </c>
      <c r="B8" s="9" t="inlineStr">
        <is>
          <t>ﾜｲﾄﾞﾛﾝｸﾞﾐﾄﾞﾙﾙｰﾌ　2700G　 2WD  ﾜｺﾞﾝGL</t>
        </is>
      </c>
      <c r="C8" s="9" t="inlineStr">
        <is>
          <t>2ＷＤ　　ＡＴ</t>
        </is>
      </c>
      <c r="D8" s="9" t="inlineStr">
        <is>
          <t>2700</t>
        </is>
      </c>
      <c r="E8" s="9" t="inlineStr">
        <is>
          <t>ｶﾞｿﾘﾝ</t>
        </is>
      </c>
      <c r="F8" s="9" t="n">
        <v>6143000</v>
      </c>
      <c r="G8" s="9" t="n">
        <v>84000</v>
      </c>
      <c r="H8" s="9" t="n">
        <v>24600</v>
      </c>
      <c r="I8" s="9" t="n">
        <v>20580</v>
      </c>
      <c r="L8" s="9" t="inlineStr">
        <is>
          <t>184</t>
        </is>
      </c>
      <c r="M8" s="9" t="inlineStr">
        <is>
          <t>天井　ワイドセンターウッド＆ダウンライト仕様（純正天井内張使用車不適合）</t>
        </is>
      </c>
      <c r="N8" s="9" t="inlineStr">
        <is>
          <t>一般</t>
        </is>
      </c>
      <c r="O8" s="9" t="n"/>
    </row>
    <row r="9">
      <c r="A9" s="9" t="inlineStr">
        <is>
          <t>ロングトレイン　　　　　ﾊｲｴｰｽ</t>
        </is>
      </c>
      <c r="B9" s="9" t="inlineStr">
        <is>
          <t>ﾜｲﾄﾞﾛﾝｸﾞﾐﾄﾞﾙﾙｰﾌ　2700G 　4WD ﾜｺﾞﾝGL</t>
        </is>
      </c>
      <c r="C9" s="9" t="inlineStr">
        <is>
          <t>4ＷＤ　　ＡＴ</t>
        </is>
      </c>
      <c r="D9" s="9" t="inlineStr">
        <is>
          <t>2700</t>
        </is>
      </c>
      <c r="E9" s="9" t="inlineStr">
        <is>
          <t>ｶﾞｿﾘﾝ</t>
        </is>
      </c>
      <c r="F9" s="9" t="n">
        <v>6423000</v>
      </c>
      <c r="G9" s="9" t="n">
        <v>88000</v>
      </c>
      <c r="H9" s="9" t="n">
        <v>24600</v>
      </c>
      <c r="I9" s="9" t="n">
        <v>20580</v>
      </c>
      <c r="L9" s="9" t="inlineStr">
        <is>
          <t>185</t>
        </is>
      </c>
      <c r="M9" s="9" t="inlineStr">
        <is>
          <t>天井　ワイドセンターウッド＆ダウンライト仕様（純正天井内張使用車不適合）</t>
        </is>
      </c>
      <c r="N9" s="9" t="inlineStr">
        <is>
          <t>一般</t>
        </is>
      </c>
      <c r="O9" s="9" t="n">
        <v>200000</v>
      </c>
    </row>
    <row r="10">
      <c r="A10" s="9" t="inlineStr">
        <is>
          <t>ロングトレイン　　　　　ﾊｲｴｰｽ</t>
        </is>
      </c>
      <c r="B10" s="9" t="inlineStr">
        <is>
          <t>ﾜｲﾄﾞﾛﾝｸﾞ2700G 2WD　ｼﾞｪﾝﾄﾘｰﾙｰﾌ ﾜｺﾞﾝGL</t>
        </is>
      </c>
      <c r="C10" s="9" t="inlineStr">
        <is>
          <t>2ＷＤ　　ＡＴ</t>
        </is>
      </c>
      <c r="D10" s="9" t="inlineStr">
        <is>
          <t>2700</t>
        </is>
      </c>
      <c r="E10" s="9" t="inlineStr">
        <is>
          <t>ｶﾞｿﾘﾝ</t>
        </is>
      </c>
      <c r="F10" s="9" t="n">
        <v>7023000</v>
      </c>
      <c r="G10" s="9" t="n">
        <v>84000</v>
      </c>
      <c r="H10" s="9" t="n">
        <v>24600</v>
      </c>
      <c r="I10" s="9" t="n">
        <v>20580</v>
      </c>
      <c r="L10" s="9" t="inlineStr">
        <is>
          <t>400</t>
        </is>
      </c>
      <c r="M10" s="9" t="inlineStr">
        <is>
          <t>お持込み車キャンピング　解体費用</t>
        </is>
      </c>
      <c r="N10" s="9" t="inlineStr">
        <is>
          <t>一般</t>
        </is>
      </c>
      <c r="O10" s="9" t="n">
        <v>150000</v>
      </c>
    </row>
    <row r="11">
      <c r="A11" s="9" t="inlineStr">
        <is>
          <t>ロングトレイン　　　　　ﾊｲｴｰｽ</t>
        </is>
      </c>
      <c r="B11" s="9" t="inlineStr">
        <is>
          <t>ﾜｲﾄﾞﾛﾝｸﾞ2700G 4WD　ｼﾞｪﾝﾄﾘｰﾙｰﾌ ﾜｺﾞﾝGL</t>
        </is>
      </c>
      <c r="C11" s="9" t="inlineStr">
        <is>
          <t>4ＷＤ　　ＡＴ</t>
        </is>
      </c>
      <c r="D11" s="9" t="inlineStr">
        <is>
          <t>2700</t>
        </is>
      </c>
      <c r="E11" s="9" t="inlineStr">
        <is>
          <t>ｶﾞｿﾘﾝ</t>
        </is>
      </c>
      <c r="F11" s="9" t="n">
        <v>7303000</v>
      </c>
      <c r="G11" s="9" t="n">
        <v>88000</v>
      </c>
      <c r="H11" s="9" t="n">
        <v>24600</v>
      </c>
      <c r="I11" s="9" t="n">
        <v>20580</v>
      </c>
      <c r="L11" s="9" t="inlineStr">
        <is>
          <t>401</t>
        </is>
      </c>
      <c r="M11" s="9" t="inlineStr">
        <is>
          <t>車検整備点検料</t>
        </is>
      </c>
      <c r="N11" s="9" t="inlineStr">
        <is>
          <t>一般</t>
        </is>
      </c>
      <c r="O11" s="9" t="n">
        <v>50000</v>
      </c>
    </row>
    <row r="12">
      <c r="A12" s="9" t="inlineStr">
        <is>
          <t>ブルームーンEX　　　　　　　　ﾊｲｴｰｽ</t>
        </is>
      </c>
      <c r="B12" s="9" t="inlineStr">
        <is>
          <t>ﾜｲﾄﾞｽｰﾊﾟｰﾛﾝｸﾞDX・GLﾊﾟｯｹｰｼﾞ2700G 2WD</t>
        </is>
      </c>
      <c r="C12" s="9" t="inlineStr">
        <is>
          <t>2ＷＤ　　ＡＴ</t>
        </is>
      </c>
      <c r="D12" s="9" t="inlineStr">
        <is>
          <t>2700</t>
        </is>
      </c>
      <c r="E12" s="9" t="inlineStr">
        <is>
          <t>ｶﾞｿﾘﾝ</t>
        </is>
      </c>
      <c r="F12" s="9" t="n">
        <v>6493000</v>
      </c>
      <c r="G12" s="9" t="n">
        <v>75000</v>
      </c>
      <c r="H12" s="9" t="n">
        <v>24600</v>
      </c>
      <c r="I12" s="9" t="n">
        <v>20580</v>
      </c>
      <c r="L12" s="9" t="inlineStr">
        <is>
          <t>500</t>
        </is>
      </c>
      <c r="M12" s="9" t="inlineStr">
        <is>
          <t>中古車　エンジン足回り点検整備一式</t>
        </is>
      </c>
      <c r="N12" s="9" t="inlineStr">
        <is>
          <t>一般</t>
        </is>
      </c>
      <c r="O12" s="9" t="n">
        <v>50000</v>
      </c>
    </row>
    <row r="13">
      <c r="A13" s="9" t="inlineStr">
        <is>
          <t>ブルームーンEX　　　　　　　　ﾊｲｴｰｽ</t>
        </is>
      </c>
      <c r="B13" s="9" t="inlineStr">
        <is>
          <t>ﾜｲﾄﾞｽｰﾊﾟｰﾛﾝｸﾞDX・GLﾊﾟｯｹｰｼﾞ2700G 4WD</t>
        </is>
      </c>
      <c r="C13" s="9" t="inlineStr">
        <is>
          <t>4ＷＤ　　ＡＴ</t>
        </is>
      </c>
      <c r="D13" s="9" t="inlineStr">
        <is>
          <t>2700</t>
        </is>
      </c>
      <c r="E13" s="9" t="inlineStr">
        <is>
          <t>ｶﾞｿﾘﾝ</t>
        </is>
      </c>
      <c r="F13" s="9" t="n">
        <v>6773000</v>
      </c>
      <c r="G13" s="9" t="n">
        <v>83000</v>
      </c>
      <c r="H13" s="9" t="n">
        <v>24600</v>
      </c>
      <c r="I13" s="9" t="n">
        <v>20580</v>
      </c>
      <c r="L13" s="9" t="inlineStr">
        <is>
          <t>106</t>
        </is>
      </c>
      <c r="M13" s="9" t="inlineStr">
        <is>
          <t>ﾌｧﾝﾀｽﾃｨｯｸﾙｰﾌﾍﾞﾝﾁﾚｰﾀｰ　ｵﾘｼﾞﾅﾙﾍﾞﾝﾁﾚｰﾀｰｺﾝﾄﾛｰﾗｰ付き</t>
        </is>
      </c>
      <c r="N13" s="9" t="inlineStr">
        <is>
          <t>外装</t>
        </is>
      </c>
      <c r="O13" s="9" t="n">
        <v>80000</v>
      </c>
    </row>
    <row r="14">
      <c r="A14" s="9" t="inlineStr">
        <is>
          <t>ブルームーンEX　　　　　　　　ﾊｲｴｰｽ</t>
        </is>
      </c>
      <c r="B14" s="9" t="inlineStr">
        <is>
          <t>ﾜｲﾄﾞｽｰﾊﾟｰﾛﾝｸﾞDX・GLﾊﾟｯｹｰｼﾞ2800DT 2WD</t>
        </is>
      </c>
      <c r="C14" s="9" t="inlineStr">
        <is>
          <t>2ＷＤ　　ＡＴ</t>
        </is>
      </c>
      <c r="D14" s="9" t="inlineStr">
        <is>
          <t>2800</t>
        </is>
      </c>
      <c r="E14" s="9" t="inlineStr">
        <is>
          <t>軽油</t>
        </is>
      </c>
      <c r="F14" s="9" t="n">
        <v>6933000</v>
      </c>
      <c r="G14" s="9" t="n">
        <v>87000</v>
      </c>
      <c r="H14" s="9" t="n">
        <v>24600</v>
      </c>
      <c r="I14" s="9" t="n">
        <v>20580</v>
      </c>
      <c r="L14" s="9" t="inlineStr">
        <is>
          <t>107</t>
        </is>
      </c>
      <c r="M14" s="9" t="inlineStr">
        <is>
          <t>ルーフベンチレーター　（　ＭＡＸファン　）</t>
        </is>
      </c>
      <c r="N14" s="9" t="inlineStr">
        <is>
          <t>外装</t>
        </is>
      </c>
      <c r="O14" s="9" t="n">
        <v>85000</v>
      </c>
    </row>
    <row r="15">
      <c r="A15" s="9" t="inlineStr">
        <is>
          <t>ブルームーンEX　　　　　　　　ﾊｲｴｰｽ</t>
        </is>
      </c>
      <c r="B15" s="9" t="inlineStr">
        <is>
          <t>ﾜｲﾄﾞｽｰﾊﾟｰﾛﾝｸﾞDX・GLﾊﾟｯｹｰｼﾞ2800DT 4WD</t>
        </is>
      </c>
      <c r="C15" s="9" t="inlineStr">
        <is>
          <t>4ＷＤ　　ＡＴ</t>
        </is>
      </c>
      <c r="D15" s="9" t="inlineStr">
        <is>
          <t>2800</t>
        </is>
      </c>
      <c r="E15" s="9" t="inlineStr">
        <is>
          <t>軽油</t>
        </is>
      </c>
      <c r="F15" s="9" t="n">
        <v>7213000</v>
      </c>
      <c r="G15" s="9" t="n">
        <v>95000</v>
      </c>
      <c r="H15" s="9" t="n">
        <v>24600</v>
      </c>
      <c r="I15" s="9" t="n">
        <v>20580</v>
      </c>
      <c r="L15" s="9" t="inlineStr">
        <is>
          <t>108</t>
        </is>
      </c>
      <c r="M15" s="9" t="inlineStr">
        <is>
          <t>ルーフベンチレーター　（　ＭＡＸファン　リモコンモデル　）</t>
        </is>
      </c>
      <c r="N15" s="9" t="inlineStr">
        <is>
          <t>外装</t>
        </is>
      </c>
      <c r="O15" s="9" t="n">
        <v>95000</v>
      </c>
    </row>
    <row r="16">
      <c r="A16" s="9" t="inlineStr">
        <is>
          <t>ブルームーンEX　　　　　　　　ﾊｲｴｰｽ</t>
        </is>
      </c>
      <c r="B16" s="9" t="inlineStr">
        <is>
          <t>ﾜｲﾄﾞｽｰﾊﾟｰﾛﾝｸﾞ　　　　特装2700G 2WD</t>
        </is>
      </c>
      <c r="C16" s="9" t="inlineStr">
        <is>
          <t>2ＷＤ　　ＡＴ</t>
        </is>
      </c>
      <c r="D16" s="9" t="inlineStr">
        <is>
          <t>2700</t>
        </is>
      </c>
      <c r="E16" s="9" t="inlineStr">
        <is>
          <t>ｶﾞｿﾘﾝ</t>
        </is>
      </c>
      <c r="F16" s="9" t="n">
        <v>6773000</v>
      </c>
      <c r="G16" s="9" t="n">
        <v>80000</v>
      </c>
      <c r="H16" s="9" t="n">
        <v>24600</v>
      </c>
      <c r="I16" s="9" t="n">
        <v>20580</v>
      </c>
      <c r="L16" s="9" t="inlineStr">
        <is>
          <t>109</t>
        </is>
      </c>
      <c r="M16" s="9" t="inlineStr">
        <is>
          <t>サイドオーニング　　3.0ｍ</t>
        </is>
      </c>
      <c r="N16" s="9" t="inlineStr">
        <is>
          <t>外装</t>
        </is>
      </c>
      <c r="O16" s="9" t="n">
        <v>165000</v>
      </c>
    </row>
    <row r="17">
      <c r="A17" s="9" t="inlineStr">
        <is>
          <t>ブルームーンEX　　　　　　　　ﾊｲｴｰｽ</t>
        </is>
      </c>
      <c r="B17" s="9" t="inlineStr">
        <is>
          <t>ﾜｲﾄﾞｽｰﾊﾟｰﾛﾝｸﾞ　　　　特装2700G 4WD</t>
        </is>
      </c>
      <c r="C17" s="9" t="inlineStr">
        <is>
          <t>4ＷＤ　　ＡＴ</t>
        </is>
      </c>
      <c r="D17" s="9" t="inlineStr">
        <is>
          <t>2700</t>
        </is>
      </c>
      <c r="E17" s="9" t="inlineStr">
        <is>
          <t>ｶﾞｿﾘﾝ</t>
        </is>
      </c>
      <c r="F17" s="9" t="n">
        <v>7053000</v>
      </c>
      <c r="G17" s="9" t="n">
        <v>88000</v>
      </c>
      <c r="H17" s="9" t="n">
        <v>24600</v>
      </c>
      <c r="I17" s="9" t="n">
        <v>20580</v>
      </c>
      <c r="L17" s="9" t="inlineStr">
        <is>
          <t>110</t>
        </is>
      </c>
      <c r="M17" s="9" t="inlineStr">
        <is>
          <t>サイドオーニング　　3.5ｍ</t>
        </is>
      </c>
      <c r="N17" s="9" t="inlineStr">
        <is>
          <t>外装</t>
        </is>
      </c>
      <c r="O17" s="9" t="n">
        <v>180000</v>
      </c>
    </row>
    <row r="18">
      <c r="A18" s="9" t="inlineStr">
        <is>
          <t>ブルームーンEX　　　　　　　　ﾊｲｴｰｽ</t>
        </is>
      </c>
      <c r="B18" s="9" t="inlineStr">
        <is>
          <t>ﾜｲﾄﾞｽｰﾊﾟｰﾛﾝｸﾞ　　　　特装2800DT 2WD</t>
        </is>
      </c>
      <c r="C18" s="9" t="inlineStr">
        <is>
          <t>2ＷＤ　　ＡＴ</t>
        </is>
      </c>
      <c r="D18" s="9" t="inlineStr">
        <is>
          <t>2800</t>
        </is>
      </c>
      <c r="E18" s="9" t="inlineStr">
        <is>
          <t>軽油</t>
        </is>
      </c>
      <c r="F18" s="9" t="n">
        <v>7213000</v>
      </c>
      <c r="G18" s="9" t="n">
        <v>87000</v>
      </c>
      <c r="H18" s="9" t="n">
        <v>24600</v>
      </c>
      <c r="I18" s="9" t="n">
        <v>20580</v>
      </c>
      <c r="L18" s="9" t="inlineStr">
        <is>
          <t>136</t>
        </is>
      </c>
      <c r="M18" s="9" t="inlineStr">
        <is>
          <t>サイクルキャリア</t>
        </is>
      </c>
      <c r="N18" s="9" t="inlineStr">
        <is>
          <t>外装</t>
        </is>
      </c>
      <c r="O18" s="9" t="n">
        <v>88000</v>
      </c>
    </row>
    <row r="19">
      <c r="A19" s="9" t="inlineStr">
        <is>
          <t>ブルームーンEX　　　　　　　　ﾊｲｴｰｽ</t>
        </is>
      </c>
      <c r="B19" s="9" t="inlineStr">
        <is>
          <t>ﾜｲﾄﾞｽｰﾊﾟｰﾛﾝｸﾞ　　　　特装2800DT 4WD</t>
        </is>
      </c>
      <c r="C19" s="9" t="inlineStr">
        <is>
          <t>4ＷＤ　　ＡＴ</t>
        </is>
      </c>
      <c r="D19" s="9" t="inlineStr">
        <is>
          <t>2800</t>
        </is>
      </c>
      <c r="E19" s="9" t="inlineStr">
        <is>
          <t>軽油</t>
        </is>
      </c>
      <c r="F19" s="9" t="n">
        <v>7493000</v>
      </c>
      <c r="G19" s="9" t="n">
        <v>95000</v>
      </c>
      <c r="H19" s="9" t="n">
        <v>24600</v>
      </c>
      <c r="I19" s="9" t="n">
        <v>20580</v>
      </c>
      <c r="L19" s="9" t="inlineStr">
        <is>
          <t>170</t>
        </is>
      </c>
      <c r="M19" s="9" t="inlineStr">
        <is>
          <t>カー網戸1枚</t>
        </is>
      </c>
      <c r="N19" s="9" t="inlineStr">
        <is>
          <t>外装</t>
        </is>
      </c>
      <c r="O19" s="9" t="n">
        <v>14000</v>
      </c>
    </row>
    <row r="20">
      <c r="A20" s="9" t="inlineStr">
        <is>
          <t>ブルームーンEX　　　　　　　　ﾊｲｴｰｽ</t>
        </is>
      </c>
      <c r="B20" s="9" t="inlineStr">
        <is>
          <t>ﾜｲﾄﾞｽｰﾊﾟｰﾛﾝｸﾞ　　　　ﾜｺﾞﾝｸﾞﾗﾝﾄﾞｷｬﾋﾞﾝ　　　2700G 2WD</t>
        </is>
      </c>
      <c r="C20" s="9" t="inlineStr">
        <is>
          <t>2ＷＤ　　ＡＴ</t>
        </is>
      </c>
      <c r="D20" s="9" t="inlineStr">
        <is>
          <t>2700</t>
        </is>
      </c>
      <c r="E20" s="9" t="inlineStr">
        <is>
          <t>ｶﾞｿﾘﾝ</t>
        </is>
      </c>
      <c r="F20" s="9" t="n">
        <v>7623000</v>
      </c>
      <c r="G20" s="9" t="n">
        <v>97000</v>
      </c>
      <c r="H20" s="9" t="n">
        <v>24600</v>
      </c>
      <c r="I20" s="9" t="n">
        <v>20580</v>
      </c>
      <c r="L20" s="9" t="inlineStr">
        <is>
          <t>171</t>
        </is>
      </c>
      <c r="M20" s="9" t="inlineStr">
        <is>
          <t>カー網戸２枚</t>
        </is>
      </c>
      <c r="N20" s="9" t="inlineStr">
        <is>
          <t>外装</t>
        </is>
      </c>
      <c r="O20" s="9" t="n">
        <v>28000</v>
      </c>
    </row>
    <row r="21">
      <c r="A21" s="9" t="inlineStr">
        <is>
          <t>ブルームーンEX　　　　　　　　ﾊｲｴｰｽ</t>
        </is>
      </c>
      <c r="B21" s="9" t="inlineStr">
        <is>
          <t>ﾜｲﾄﾞｽｰﾊﾟｰﾛﾝｸﾞ　　　　ﾜｺﾞﾝｸﾞﾗﾝﾄﾞｷｬﾋﾞﾝ　　　2700G 4WD</t>
        </is>
      </c>
      <c r="C21" s="9" t="inlineStr">
        <is>
          <t>4ＷＤ　　ＡＴ</t>
        </is>
      </c>
      <c r="D21" s="9" t="inlineStr">
        <is>
          <t>2700</t>
        </is>
      </c>
      <c r="E21" s="9" t="inlineStr">
        <is>
          <t>ｶﾞｿﾘﾝ</t>
        </is>
      </c>
      <c r="F21" s="9" t="n">
        <v>7903000</v>
      </c>
      <c r="G21" s="9" t="n">
        <v>110000</v>
      </c>
      <c r="H21" s="9" t="n">
        <v>24600</v>
      </c>
      <c r="I21" s="9" t="n">
        <v>20580</v>
      </c>
      <c r="L21" s="9" t="inlineStr">
        <is>
          <t>172</t>
        </is>
      </c>
      <c r="M21" s="9" t="inlineStr">
        <is>
          <t>カー網戸３枚</t>
        </is>
      </c>
      <c r="N21" s="9" t="inlineStr">
        <is>
          <t>外装</t>
        </is>
      </c>
      <c r="O21" s="9" t="n">
        <v>42000</v>
      </c>
    </row>
    <row r="22">
      <c r="A22" s="9" t="inlineStr">
        <is>
          <t>シェスタ　　　　　　　　ﾊｲｴｰｽ</t>
        </is>
      </c>
      <c r="B22" s="9" t="inlineStr">
        <is>
          <t>ﾜｲﾄﾞｽｰﾊﾟｰﾛﾝｸﾞDX・GLﾊﾟｯｹｰｼﾞ2700G 2WD</t>
        </is>
      </c>
      <c r="C22" s="9" t="inlineStr">
        <is>
          <t>2ＷＤ　　ＡＴ</t>
        </is>
      </c>
      <c r="D22" s="9" t="inlineStr">
        <is>
          <t>2700</t>
        </is>
      </c>
      <c r="E22" s="9" t="inlineStr">
        <is>
          <t>ｶﾞｿﾘﾝ</t>
        </is>
      </c>
      <c r="F22" s="9" t="n">
        <v>6343000</v>
      </c>
      <c r="G22" s="9" t="n">
        <v>75000</v>
      </c>
      <c r="H22" s="9" t="n">
        <v>24600</v>
      </c>
      <c r="I22" s="9" t="n">
        <v>20580</v>
      </c>
      <c r="L22" s="9" t="inlineStr">
        <is>
          <t>173</t>
        </is>
      </c>
      <c r="M22" s="9" t="inlineStr">
        <is>
          <t>ｵﾘｼﾞﾅﾙﾅﾝﾊﾞｰﾌﾚｰﾑ前後　katomotorﾗｳﾝﾄﾞｽﾃｯｶｰ前＆家具ｽﾃｯｶｰ</t>
        </is>
      </c>
      <c r="N22" s="9" t="inlineStr">
        <is>
          <t>外装</t>
        </is>
      </c>
      <c r="O22" s="9" t="n"/>
    </row>
    <row r="23">
      <c r="A23" s="9" t="inlineStr">
        <is>
          <t>シェスタ　　　　　　　　ﾊｲｴｰｽ</t>
        </is>
      </c>
      <c r="B23" s="9" t="inlineStr">
        <is>
          <t>ﾜｲﾄﾞｽｰﾊﾟｰﾛﾝｸﾞDX・GLﾊﾟｯｹｰｼﾞ2700G 4WD</t>
        </is>
      </c>
      <c r="C23" s="9" t="inlineStr">
        <is>
          <t>4ＷＤ　　ＡＴ</t>
        </is>
      </c>
      <c r="D23" s="9" t="inlineStr">
        <is>
          <t>2700</t>
        </is>
      </c>
      <c r="E23" s="9" t="inlineStr">
        <is>
          <t>ｶﾞｿﾘﾝ</t>
        </is>
      </c>
      <c r="F23" s="9" t="n">
        <v>6623000</v>
      </c>
      <c r="G23" s="9" t="n">
        <v>83000</v>
      </c>
      <c r="H23" s="9" t="n">
        <v>24600</v>
      </c>
      <c r="I23" s="9" t="n">
        <v>20580</v>
      </c>
      <c r="L23" s="9" t="inlineStr">
        <is>
          <t>177</t>
        </is>
      </c>
      <c r="M23" s="9" t="inlineStr">
        <is>
          <t>Ｋエンブレム　１か所</t>
        </is>
      </c>
      <c r="N23" s="9" t="inlineStr">
        <is>
          <t>外装</t>
        </is>
      </c>
      <c r="O23" s="9" t="n">
        <v>8000</v>
      </c>
    </row>
    <row r="24">
      <c r="A24" s="9" t="inlineStr">
        <is>
          <t>シェスタ　　　　　　　　ﾊｲｴｰｽ</t>
        </is>
      </c>
      <c r="B24" s="9" t="inlineStr">
        <is>
          <t>ﾜｲﾄﾞｽｰﾊﾟｰﾛﾝｸﾞDX・GLﾊﾟｯｹｰｼﾞ2800DT 2WD</t>
        </is>
      </c>
      <c r="C24" s="9" t="inlineStr">
        <is>
          <t>2ＷＤ　　ＡＴ</t>
        </is>
      </c>
      <c r="D24" s="9" t="inlineStr">
        <is>
          <t>2800</t>
        </is>
      </c>
      <c r="E24" s="9" t="inlineStr">
        <is>
          <t>軽油</t>
        </is>
      </c>
      <c r="F24" s="9" t="n">
        <v>6783000</v>
      </c>
      <c r="G24" s="9" t="n">
        <v>87000</v>
      </c>
      <c r="H24" s="9" t="n">
        <v>24600</v>
      </c>
      <c r="I24" s="9" t="n">
        <v>20580</v>
      </c>
      <c r="L24" s="9" t="inlineStr">
        <is>
          <t>178</t>
        </is>
      </c>
      <c r="M24" s="9" t="inlineStr">
        <is>
          <t>Ｋエンブレム　２か所</t>
        </is>
      </c>
      <c r="N24" s="9" t="inlineStr">
        <is>
          <t>外装</t>
        </is>
      </c>
      <c r="O24" s="9" t="n">
        <v>16000</v>
      </c>
    </row>
    <row r="25">
      <c r="A25" s="9" t="inlineStr">
        <is>
          <t>シェスタ　　　　　　　　ﾊｲｴｰｽ</t>
        </is>
      </c>
      <c r="B25" s="9" t="inlineStr">
        <is>
          <t>ﾜｲﾄﾞｽｰﾊﾟｰﾛﾝｸﾞDX・GLﾊﾟｯｹｰｼﾞ2800DT 4WD</t>
        </is>
      </c>
      <c r="C25" s="9" t="inlineStr">
        <is>
          <t>4ＷＤ　　ＡＴ</t>
        </is>
      </c>
      <c r="D25" s="9" t="inlineStr">
        <is>
          <t>2800</t>
        </is>
      </c>
      <c r="E25" s="9" t="inlineStr">
        <is>
          <t>軽油</t>
        </is>
      </c>
      <c r="F25" s="9" t="n">
        <v>7063000</v>
      </c>
      <c r="G25" s="9" t="n">
        <v>95000</v>
      </c>
      <c r="H25" s="9" t="n">
        <v>24600</v>
      </c>
      <c r="I25" s="9" t="n">
        <v>20580</v>
      </c>
      <c r="L25" s="9" t="inlineStr">
        <is>
          <t>179</t>
        </is>
      </c>
      <c r="M25" s="9" t="inlineStr">
        <is>
          <t>リフトアップスプリング＆ショックアブソーバー</t>
        </is>
      </c>
      <c r="N25" s="9" t="inlineStr">
        <is>
          <t>外装</t>
        </is>
      </c>
      <c r="O25" s="9" t="n">
        <v>235000</v>
      </c>
    </row>
    <row r="26">
      <c r="A26" s="9" t="inlineStr">
        <is>
          <t>シェスタ　　　　　　　　ﾊｲｴｰｽ</t>
        </is>
      </c>
      <c r="B26" s="9" t="inlineStr">
        <is>
          <t>ﾜｲﾄﾞｽｰﾊﾟｰﾛﾝｸﾞ　　　　特装2700G 2WD</t>
        </is>
      </c>
      <c r="C26" s="9" t="inlineStr">
        <is>
          <t>2ＷＤ　　ＡＴ</t>
        </is>
      </c>
      <c r="D26" s="9" t="inlineStr">
        <is>
          <t>2700</t>
        </is>
      </c>
      <c r="E26" s="9" t="inlineStr">
        <is>
          <t>ｶﾞｿﾘﾝ</t>
        </is>
      </c>
      <c r="F26" s="9" t="n">
        <v>6623000</v>
      </c>
      <c r="G26" s="9" t="n">
        <v>80000</v>
      </c>
      <c r="H26" s="9" t="n">
        <v>24600</v>
      </c>
      <c r="I26" s="9" t="n">
        <v>20580</v>
      </c>
      <c r="L26" s="9" t="inlineStr">
        <is>
          <t>330</t>
        </is>
      </c>
      <c r="M26" s="9" t="inlineStr">
        <is>
          <t>ボディーコーティング</t>
        </is>
      </c>
      <c r="N26" s="9" t="inlineStr">
        <is>
          <t>外装</t>
        </is>
      </c>
      <c r="O26" s="9" t="n">
        <v>120000</v>
      </c>
    </row>
    <row r="27">
      <c r="A27" s="9" t="inlineStr">
        <is>
          <t>シェスタ　　　　　　　　ﾊｲｴｰｽ</t>
        </is>
      </c>
      <c r="B27" s="9" t="inlineStr">
        <is>
          <t>ﾜｲﾄﾞｽｰﾊﾟｰﾛﾝｸﾞ　　　　特装2700G 4WD</t>
        </is>
      </c>
      <c r="C27" s="9" t="inlineStr">
        <is>
          <t>4ＷＤ　　ＡＴ</t>
        </is>
      </c>
      <c r="D27" s="9" t="inlineStr">
        <is>
          <t>2700</t>
        </is>
      </c>
      <c r="E27" s="9" t="inlineStr">
        <is>
          <t>ｶﾞｿﾘﾝ</t>
        </is>
      </c>
      <c r="F27" s="9" t="n">
        <v>6903000</v>
      </c>
      <c r="G27" s="9" t="n">
        <v>88000</v>
      </c>
      <c r="H27" s="9" t="n">
        <v>24600</v>
      </c>
      <c r="I27" s="9" t="n">
        <v>20580</v>
      </c>
      <c r="L27" s="9" t="inlineStr">
        <is>
          <t>331</t>
        </is>
      </c>
      <c r="M27" s="9" t="inlineStr">
        <is>
          <t>ボディーコーティング　ＤＤ</t>
        </is>
      </c>
      <c r="N27" s="9" t="inlineStr">
        <is>
          <t>外装</t>
        </is>
      </c>
      <c r="O27" s="9" t="n">
        <v>140000</v>
      </c>
    </row>
    <row r="28">
      <c r="A28" s="9" t="inlineStr">
        <is>
          <t>シェスタ　　　　　　　　ﾊｲｴｰｽ</t>
        </is>
      </c>
      <c r="B28" s="9" t="inlineStr">
        <is>
          <t>ﾜｲﾄﾞｽｰﾊﾟｰﾛﾝｸﾞ　　　　特装2800DT 2WD</t>
        </is>
      </c>
      <c r="C28" s="9" t="inlineStr">
        <is>
          <t>2ＷＤ　　ＡＴ</t>
        </is>
      </c>
      <c r="D28" s="9" t="inlineStr">
        <is>
          <t>2800</t>
        </is>
      </c>
      <c r="E28" s="9" t="inlineStr">
        <is>
          <t>軽油</t>
        </is>
      </c>
      <c r="F28" s="9" t="n">
        <v>7063000</v>
      </c>
      <c r="G28" s="9" t="n">
        <v>87000</v>
      </c>
      <c r="H28" s="9" t="n">
        <v>24600</v>
      </c>
      <c r="I28" s="9" t="n">
        <v>20580</v>
      </c>
      <c r="L28" s="9" t="inlineStr">
        <is>
          <t>332</t>
        </is>
      </c>
      <c r="M28" s="9" t="inlineStr">
        <is>
          <t>下回り防錆処理</t>
        </is>
      </c>
      <c r="N28" s="9" t="inlineStr">
        <is>
          <t>外装</t>
        </is>
      </c>
      <c r="O28" s="9" t="n">
        <v>140000</v>
      </c>
    </row>
    <row r="29">
      <c r="A29" s="9" t="inlineStr">
        <is>
          <t>シェスタ　　　　　　　　ﾊｲｴｰｽ</t>
        </is>
      </c>
      <c r="B29" s="9" t="inlineStr">
        <is>
          <t>ﾜｲﾄﾞｽｰﾊﾟｰﾛﾝｸﾞ　　　　特装2800DT 4WD</t>
        </is>
      </c>
      <c r="C29" s="9" t="inlineStr">
        <is>
          <t>4ＷＤ　　ＡＴ</t>
        </is>
      </c>
      <c r="D29" s="9" t="inlineStr">
        <is>
          <t>2800</t>
        </is>
      </c>
      <c r="E29" s="9" t="inlineStr">
        <is>
          <t>軽油</t>
        </is>
      </c>
      <c r="F29" s="9" t="n">
        <v>7343000</v>
      </c>
      <c r="G29" s="9" t="n">
        <v>95000</v>
      </c>
      <c r="H29" s="9" t="n">
        <v>24600</v>
      </c>
      <c r="I29" s="9" t="n">
        <v>20580</v>
      </c>
      <c r="L29" s="9" t="inlineStr">
        <is>
          <t>333</t>
        </is>
      </c>
      <c r="M29" s="9" t="inlineStr">
        <is>
          <t>スタッドレスタイヤ＆アルミホイール　ﾊｲｴｰｽ　BS VL10 195/80R15　107/105</t>
        </is>
      </c>
      <c r="N29" s="9" t="inlineStr">
        <is>
          <t>外装</t>
        </is>
      </c>
      <c r="O29" s="9" t="n">
        <v>209000</v>
      </c>
    </row>
    <row r="30">
      <c r="A30" s="9" t="inlineStr">
        <is>
          <t>シェスタ　　　　　　　　ﾊｲｴｰｽ</t>
        </is>
      </c>
      <c r="B30" s="9" t="inlineStr">
        <is>
          <t>ﾜｲﾄﾞｽｰﾊﾟｰﾛﾝｸﾞ　　　　ﾜｺﾞﾝｸﾞﾗﾝﾄﾞｷｬﾋﾞﾝ　　　2700G 2WD</t>
        </is>
      </c>
      <c r="C30" s="9" t="inlineStr">
        <is>
          <t>2ＷＤ　　ＡＴ</t>
        </is>
      </c>
      <c r="D30" s="9" t="inlineStr">
        <is>
          <t>2700</t>
        </is>
      </c>
      <c r="E30" s="9" t="inlineStr">
        <is>
          <t>ｶﾞｿﾘﾝ</t>
        </is>
      </c>
      <c r="F30" s="9" t="n">
        <v>7123000</v>
      </c>
      <c r="G30" s="9" t="n">
        <v>97000</v>
      </c>
      <c r="H30" s="9" t="n">
        <v>24600</v>
      </c>
      <c r="I30" s="9" t="n">
        <v>20580</v>
      </c>
      <c r="L30" s="9" t="inlineStr">
        <is>
          <t>334</t>
        </is>
      </c>
      <c r="M30" s="9" t="inlineStr">
        <is>
          <t>スタッドレスタイヤ＆アルミホイール　ﾀｳﾝｴｰｽ　BS VL10A 165/80 R14　97/95N</t>
        </is>
      </c>
      <c r="N30" s="9" t="inlineStr">
        <is>
          <t>外装</t>
        </is>
      </c>
      <c r="O30" s="9" t="n">
        <v>151000</v>
      </c>
    </row>
    <row r="31">
      <c r="A31" s="9" t="inlineStr">
        <is>
          <t>シェスタ　　　　　　　　ﾊｲｴｰｽ</t>
        </is>
      </c>
      <c r="B31" s="9" t="inlineStr">
        <is>
          <t>ﾜｲﾄﾞｽｰﾊﾟｰﾛﾝｸﾞ　　　　ﾜｺﾞﾝｸﾞﾗﾝﾄﾞｷｬﾋﾞﾝ　　　2700G 4WD</t>
        </is>
      </c>
      <c r="C31" s="9" t="inlineStr">
        <is>
          <t>4ＷＤ　　ＡＴ</t>
        </is>
      </c>
      <c r="D31" s="9" t="inlineStr">
        <is>
          <t>2700</t>
        </is>
      </c>
      <c r="E31" s="9" t="inlineStr">
        <is>
          <t>ｶﾞｿﾘﾝ</t>
        </is>
      </c>
      <c r="F31" s="9" t="n">
        <v>7403000</v>
      </c>
      <c r="G31" s="9" t="n">
        <v>110000</v>
      </c>
      <c r="H31" s="9" t="n">
        <v>24600</v>
      </c>
      <c r="I31" s="9" t="n">
        <v>20580</v>
      </c>
      <c r="L31" s="9" t="inlineStr">
        <is>
          <t>336</t>
        </is>
      </c>
      <c r="M31" s="9" t="inlineStr">
        <is>
          <t>タウンエース　サイド裾ツートンステッカー</t>
        </is>
      </c>
      <c r="N31" s="9" t="inlineStr">
        <is>
          <t>外装</t>
        </is>
      </c>
      <c r="O31" s="9" t="n">
        <v>40000</v>
      </c>
    </row>
    <row r="32">
      <c r="A32" s="9" t="inlineStr">
        <is>
          <t>TIPTOP　　　　[ﾁｯﾌﾟﾄｯﾌﾟ]　　　ﾊｲｴｰｽ</t>
        </is>
      </c>
      <c r="B32" s="9" t="inlineStr">
        <is>
          <t>ﾜｲﾄﾞﾛﾝｸﾞ2700G 2WD　ワゴンGL</t>
        </is>
      </c>
      <c r="C32" s="9" t="inlineStr">
        <is>
          <t>2ＷＤ　　ＡＴ</t>
        </is>
      </c>
      <c r="D32" s="9" t="inlineStr">
        <is>
          <t>2700</t>
        </is>
      </c>
      <c r="E32" s="9" t="inlineStr">
        <is>
          <t>ｶﾞｿﾘﾝ</t>
        </is>
      </c>
      <c r="F32" s="9" t="n">
        <v>7983000</v>
      </c>
      <c r="G32" s="9" t="n">
        <v>84000</v>
      </c>
      <c r="H32" s="9" t="n">
        <v>24600</v>
      </c>
      <c r="I32" s="9" t="n">
        <v>20580</v>
      </c>
      <c r="L32" s="9" t="inlineStr">
        <is>
          <t>111</t>
        </is>
      </c>
      <c r="M32" s="9" t="inlineStr">
        <is>
          <t>ＦＦヒーター　ﾍﾞﾊﾞｽﾄ</t>
        </is>
      </c>
      <c r="N32" s="9" t="inlineStr">
        <is>
          <t>電装</t>
        </is>
      </c>
      <c r="O32" s="9" t="n">
        <v>250000</v>
      </c>
    </row>
    <row r="33">
      <c r="A33" s="9" t="inlineStr">
        <is>
          <t>TIPTOP　　　　[ﾁｯﾌﾟﾄｯﾌﾟ]　　　ﾊｲｴｰｽ</t>
        </is>
      </c>
      <c r="B33" s="9" t="inlineStr">
        <is>
          <t>ﾜｲﾄﾞﾛﾝｸﾞ2700G 4WD　ワゴンGL</t>
        </is>
      </c>
      <c r="C33" s="9" t="inlineStr">
        <is>
          <t>4ＷＤ　　ＡＴ</t>
        </is>
      </c>
      <c r="D33" s="9" t="inlineStr">
        <is>
          <t>2700</t>
        </is>
      </c>
      <c r="E33" s="9" t="inlineStr">
        <is>
          <t>ｶﾞｿﾘﾝ</t>
        </is>
      </c>
      <c r="F33" s="9" t="n">
        <v>8263000</v>
      </c>
      <c r="G33" s="9" t="n">
        <v>88000</v>
      </c>
      <c r="H33" s="9" t="n">
        <v>24600</v>
      </c>
      <c r="I33" s="9" t="n">
        <v>20580</v>
      </c>
      <c r="L33" s="9" t="inlineStr">
        <is>
          <t>112</t>
        </is>
      </c>
      <c r="M33" s="9" t="inlineStr">
        <is>
          <t>ＦＦヒーター　ﾍﾞﾊﾞｽﾄ</t>
        </is>
      </c>
      <c r="N33" s="9" t="inlineStr">
        <is>
          <t>電装</t>
        </is>
      </c>
      <c r="O33" s="9" t="n">
        <v>250000</v>
      </c>
    </row>
    <row r="34">
      <c r="A34" s="9" t="inlineStr">
        <is>
          <t>PABLO　　　　[ﾊﾟﾌﾞﾛ]　　　　　　ﾊｲｴｰｽ</t>
        </is>
      </c>
      <c r="B34" s="9" t="inlineStr">
        <is>
          <t>ﾜｲﾄﾞﾛﾝｸﾞ2700G 2WD　ワゴンGL</t>
        </is>
      </c>
      <c r="C34" s="9" t="inlineStr">
        <is>
          <t>2ＷＤ　　ＡＴ</t>
        </is>
      </c>
      <c r="D34" s="9" t="inlineStr">
        <is>
          <t>2700</t>
        </is>
      </c>
      <c r="E34" s="9" t="inlineStr">
        <is>
          <t>ｶﾞｿﾘﾝ</t>
        </is>
      </c>
      <c r="F34" s="9" t="n">
        <v>8883000</v>
      </c>
      <c r="G34" s="9" t="n">
        <v>84000</v>
      </c>
      <c r="H34" s="9" t="n">
        <v>24600</v>
      </c>
      <c r="I34" s="9" t="n">
        <v>20580</v>
      </c>
      <c r="L34" s="9" t="inlineStr">
        <is>
          <t>119</t>
        </is>
      </c>
      <c r="M34" s="9" t="inlineStr">
        <is>
          <t>高性能ｻｲﾝ波300Ｗｲﾝﾊﾞｰﾀｰ 自動切替ﾘﾚｰ付</t>
        </is>
      </c>
      <c r="N34" s="9" t="inlineStr">
        <is>
          <t>電装</t>
        </is>
      </c>
      <c r="O34" s="9" t="n">
        <v>65000</v>
      </c>
    </row>
    <row r="35">
      <c r="A35" s="9" t="inlineStr">
        <is>
          <t>PABLO　　　　[ﾊﾟﾌﾞﾛ]　　　　　　ﾊｲｴｰｽ</t>
        </is>
      </c>
      <c r="B35" s="9" t="inlineStr">
        <is>
          <t>ﾜｲﾄﾞﾛﾝｸﾞ2700G 4WD　ワゴンGL</t>
        </is>
      </c>
      <c r="C35" s="9" t="inlineStr">
        <is>
          <t>4ＷＤ　　ＡＴ</t>
        </is>
      </c>
      <c r="D35" s="9" t="inlineStr">
        <is>
          <t>2700</t>
        </is>
      </c>
      <c r="E35" s="9" t="inlineStr">
        <is>
          <t>ｶﾞｿﾘﾝ</t>
        </is>
      </c>
      <c r="F35" s="9" t="n">
        <v>9163000</v>
      </c>
      <c r="G35" s="9" t="n">
        <v>88000</v>
      </c>
      <c r="H35" s="9" t="n">
        <v>24600</v>
      </c>
      <c r="I35" s="9" t="n">
        <v>20580</v>
      </c>
      <c r="L35" s="9" t="inlineStr">
        <is>
          <t>120</t>
        </is>
      </c>
      <c r="M35" s="9" t="inlineStr">
        <is>
          <t>高性能ｻｲﾝ波1500Ｗｲﾝﾊﾞｰﾀｰ自動切替ﾘﾚｰ付</t>
        </is>
      </c>
      <c r="N35" s="9" t="inlineStr">
        <is>
          <t>電装</t>
        </is>
      </c>
      <c r="O35" s="9" t="n">
        <v>160000</v>
      </c>
    </row>
    <row r="36">
      <c r="A36" s="9" t="inlineStr">
        <is>
          <t>ＬＩＢ　[ﾅﾛｰリブ]　　　　ﾊｲｴｰｽ</t>
        </is>
      </c>
      <c r="B36" s="9" t="inlineStr">
        <is>
          <t>標準ﾎﾞﾃﾞｨｰ　ﾛﾝｸﾞ　　　ﾊｲﾙｰﾌDX・GLﾊﾟｯｹｰｼﾞ2000G　2WD</t>
        </is>
      </c>
      <c r="C36" s="9" t="inlineStr">
        <is>
          <t>2ＷＤ　　ＡＴ</t>
        </is>
      </c>
      <c r="D36" s="9" t="inlineStr">
        <is>
          <t>2000</t>
        </is>
      </c>
      <c r="E36" s="9" t="inlineStr">
        <is>
          <t>ｶﾞｿﾘﾝ</t>
        </is>
      </c>
      <c r="F36" s="9" t="n">
        <v>5913000</v>
      </c>
      <c r="G36" s="9" t="n">
        <v>70000</v>
      </c>
      <c r="H36" s="9" t="n">
        <v>24600</v>
      </c>
      <c r="I36" s="9" t="n">
        <v>20580</v>
      </c>
      <c r="L36" s="9" t="inlineStr">
        <is>
          <t>121</t>
        </is>
      </c>
      <c r="M36" s="9" t="inlineStr">
        <is>
          <t>ＡＧＭﾃﾞｨｰﾌﾟｻｲｸﾙﾊﾞｯﾃﾘｰ100Aｈ　１台追加　計２台</t>
        </is>
      </c>
      <c r="N36" s="9" t="inlineStr">
        <is>
          <t>電装</t>
        </is>
      </c>
      <c r="O36" s="9" t="n">
        <v>50000</v>
      </c>
    </row>
    <row r="37">
      <c r="A37" s="9" t="inlineStr">
        <is>
          <t>ＬＩＢ　[ﾅﾛｰリブ]　　　　ﾊｲｴｰｽ</t>
        </is>
      </c>
      <c r="B37" s="9" t="inlineStr">
        <is>
          <t>標準ﾎﾞﾃﾞｨｰ　ﾛﾝｸﾞ　　ﾊｲﾙｰﾌDX・GLﾊﾟｯｹｰｼﾞ2800D　4WD</t>
        </is>
      </c>
      <c r="C37" s="9" t="inlineStr">
        <is>
          <t>4ＷＤ　　ＡＴ</t>
        </is>
      </c>
      <c r="D37" s="9" t="inlineStr"/>
      <c r="E37" s="9" t="inlineStr">
        <is>
          <t>軽油</t>
        </is>
      </c>
      <c r="F37" s="9" t="n">
        <v>6733000</v>
      </c>
      <c r="G37" s="9" t="n">
        <v>92000</v>
      </c>
      <c r="H37" s="9" t="n">
        <v>24600</v>
      </c>
      <c r="I37" s="9" t="n">
        <v>20580</v>
      </c>
      <c r="L37" s="9" t="inlineStr">
        <is>
          <t>122</t>
        </is>
      </c>
      <c r="M37" s="9" t="inlineStr">
        <is>
          <t>ＡＧＭﾃﾞｨｰﾌﾟｻｲｸﾙﾊﾞｯﾃﾘｰ100Aｈ　２台追加　計３台</t>
        </is>
      </c>
      <c r="N37" s="9" t="inlineStr">
        <is>
          <t>電装</t>
        </is>
      </c>
      <c r="O37" s="9" t="n">
        <v>100000</v>
      </c>
    </row>
    <row r="38">
      <c r="A38" s="9" t="inlineStr">
        <is>
          <t>ＬＩＢ　[リブ]　　　　　　　ﾊｲｴｰｽ</t>
        </is>
      </c>
      <c r="B38" s="9" t="inlineStr">
        <is>
          <t>ﾜｲﾄﾞﾛﾝｸﾞ2700G 2WD　ワゴンGL</t>
        </is>
      </c>
      <c r="C38" s="9" t="inlineStr">
        <is>
          <t>2ＷＤ　　ＡＴ</t>
        </is>
      </c>
      <c r="D38" s="9" t="inlineStr">
        <is>
          <t>2700</t>
        </is>
      </c>
      <c r="E38" s="9" t="inlineStr">
        <is>
          <t>ｶﾞｿﾘﾝ</t>
        </is>
      </c>
      <c r="F38" s="9" t="n">
        <v>6393000</v>
      </c>
      <c r="G38" s="9" t="n">
        <v>84000</v>
      </c>
      <c r="H38" s="9" t="n">
        <v>24600</v>
      </c>
      <c r="I38" s="9" t="n">
        <v>20580</v>
      </c>
      <c r="L38" s="9" t="inlineStr">
        <is>
          <t>123</t>
        </is>
      </c>
      <c r="M38" s="9" t="inlineStr">
        <is>
          <t>ＡＧＭﾃﾞｨｰﾌﾟｻｲｸﾙﾊﾞｯﾃﾘｰ100Aｈ　３台追加　計４台</t>
        </is>
      </c>
      <c r="N38" s="9" t="inlineStr">
        <is>
          <t>電装</t>
        </is>
      </c>
      <c r="O38" s="9" t="n">
        <v>150000</v>
      </c>
    </row>
    <row r="39">
      <c r="A39" s="9" t="inlineStr">
        <is>
          <t>ＬＩＢ　[リブ]　　　　　　　ﾊｲｴｰｽ</t>
        </is>
      </c>
      <c r="B39" s="9" t="inlineStr">
        <is>
          <t>ﾜｲﾄﾞﾛﾝｸﾞ2700G 4WD　ワゴンGL</t>
        </is>
      </c>
      <c r="C39" s="9" t="inlineStr">
        <is>
          <t>4ＷＤ　　ＡＴ</t>
        </is>
      </c>
      <c r="D39" s="9" t="inlineStr">
        <is>
          <t>2700</t>
        </is>
      </c>
      <c r="E39" s="9" t="inlineStr">
        <is>
          <t>ｶﾞｿﾘﾝ</t>
        </is>
      </c>
      <c r="F39" s="9" t="n">
        <v>6673000</v>
      </c>
      <c r="G39" s="9" t="n">
        <v>88000</v>
      </c>
      <c r="H39" s="9" t="n">
        <v>24600</v>
      </c>
      <c r="I39" s="9" t="n">
        <v>20580</v>
      </c>
      <c r="L39" s="9" t="inlineStr">
        <is>
          <t>134</t>
        </is>
      </c>
      <c r="M39" s="9" t="inlineStr">
        <is>
          <t>充電ｼｽﾃﾑ3WAY　ﾊﾞｯﾃﾘｰﾁｬｰｼﾞｬｰｺﾝﾄﾛｰﾗｰﾍﾟﾘｰくん</t>
        </is>
      </c>
      <c r="N39" s="9" t="inlineStr">
        <is>
          <t>電装</t>
        </is>
      </c>
      <c r="O39" s="9" t="n">
        <v>80000</v>
      </c>
    </row>
    <row r="40">
      <c r="A40" s="9" t="inlineStr">
        <is>
          <t>KLEIN　[ｸﾗｲﾝ]　　ﾊｲｴｰｽ</t>
        </is>
      </c>
      <c r="B40" s="9" t="inlineStr">
        <is>
          <t>標準ﾎﾞﾃﾞｨｰ　ﾛﾝｸﾞ　　　ﾊｲﾙｰﾌDX・GLﾊﾟｯｹｰｼﾞ2000G　2WD</t>
        </is>
      </c>
      <c r="C40" s="9" t="inlineStr">
        <is>
          <t>2ＷＤ　　ＡＴ</t>
        </is>
      </c>
      <c r="D40" s="9" t="inlineStr">
        <is>
          <t>2000</t>
        </is>
      </c>
      <c r="E40" s="9" t="inlineStr">
        <is>
          <t>ｶﾞｿﾘﾝ</t>
        </is>
      </c>
      <c r="F40" s="9" t="n">
        <v>6163000</v>
      </c>
      <c r="G40" s="9" t="n">
        <v>70000</v>
      </c>
      <c r="H40" s="9" t="n">
        <v>24600</v>
      </c>
      <c r="I40" s="9" t="n">
        <v>20580</v>
      </c>
      <c r="L40" s="9" t="inlineStr">
        <is>
          <t>135</t>
        </is>
      </c>
      <c r="M40" s="9" t="inlineStr">
        <is>
          <t>ソーラー充電システム　180W</t>
        </is>
      </c>
      <c r="N40" s="9" t="inlineStr">
        <is>
          <t>電装</t>
        </is>
      </c>
      <c r="O40" s="9" t="n">
        <v>185000</v>
      </c>
    </row>
    <row r="41">
      <c r="A41" s="9" t="inlineStr">
        <is>
          <t>KLEIN　[ｸﾗｲﾝ]　　ﾊｲｴｰｽ</t>
        </is>
      </c>
      <c r="B41" s="9" t="inlineStr">
        <is>
          <t>標準ﾎﾞﾃﾞｨｰ　ﾛﾝｸﾞ　　ﾊｲﾙｰﾌDX・GLﾊﾟｯｹｰｼﾞ2800D　4WD</t>
        </is>
      </c>
      <c r="C41" s="9" t="inlineStr">
        <is>
          <t>4ＷＤ　　ＡＴ</t>
        </is>
      </c>
      <c r="D41" s="9" t="inlineStr"/>
      <c r="E41" s="9" t="inlineStr">
        <is>
          <t>軽油</t>
        </is>
      </c>
      <c r="F41" s="9" t="n">
        <v>6983000</v>
      </c>
      <c r="G41" s="9" t="n">
        <v>92000</v>
      </c>
      <c r="H41" s="9" t="n">
        <v>24600</v>
      </c>
      <c r="I41" s="9" t="n">
        <v>20580</v>
      </c>
      <c r="L41" s="9" t="inlineStr">
        <is>
          <t>147</t>
        </is>
      </c>
      <c r="M41" s="9" t="inlineStr">
        <is>
          <t>電子レンジ（家具製作あり）</t>
        </is>
      </c>
      <c r="N41" s="9" t="inlineStr">
        <is>
          <t>電装</t>
        </is>
      </c>
      <c r="O41" s="9" t="n">
        <v>43000</v>
      </c>
    </row>
    <row r="42">
      <c r="L42" s="9" t="inlineStr">
        <is>
          <t>130</t>
        </is>
      </c>
      <c r="M42" s="9" t="inlineStr">
        <is>
          <t>ドームライトＬＥＤ　一箇所</t>
        </is>
      </c>
      <c r="N42" s="9" t="inlineStr">
        <is>
          <t>電装</t>
        </is>
      </c>
      <c r="O42" s="9" t="n">
        <v>13000</v>
      </c>
    </row>
    <row r="43">
      <c r="L43" s="9" t="inlineStr">
        <is>
          <t>190</t>
        </is>
      </c>
      <c r="M43" s="9" t="inlineStr">
        <is>
          <t>100Vコンセント追加　1か所追加</t>
        </is>
      </c>
      <c r="N43" s="9" t="inlineStr">
        <is>
          <t>電装</t>
        </is>
      </c>
      <c r="O43" s="9" t="n">
        <v>10000</v>
      </c>
    </row>
    <row r="44">
      <c r="L44" s="9" t="inlineStr">
        <is>
          <t>191</t>
        </is>
      </c>
      <c r="M44" s="9" t="inlineStr">
        <is>
          <t>100Vコンセント追加　2か所追加</t>
        </is>
      </c>
      <c r="N44" s="9" t="inlineStr">
        <is>
          <t>電装</t>
        </is>
      </c>
      <c r="O44" s="9" t="n">
        <v>20000</v>
      </c>
    </row>
    <row r="45">
      <c r="L45" s="9" t="inlineStr">
        <is>
          <t>192</t>
        </is>
      </c>
      <c r="M45" s="9" t="inlineStr">
        <is>
          <t>100Vコンセント追加　3か所追加</t>
        </is>
      </c>
      <c r="N45" s="9" t="inlineStr">
        <is>
          <t>電装</t>
        </is>
      </c>
      <c r="O45" s="9" t="n">
        <v>30000</v>
      </c>
    </row>
    <row r="46">
      <c r="L46" s="9" t="inlineStr">
        <is>
          <t>193</t>
        </is>
      </c>
      <c r="M46" s="9" t="inlineStr">
        <is>
          <t>100Vコンセント追加　4か所追加</t>
        </is>
      </c>
      <c r="N46" s="9" t="inlineStr">
        <is>
          <t>電装</t>
        </is>
      </c>
      <c r="O46" s="9" t="n">
        <v>40000</v>
      </c>
    </row>
    <row r="47">
      <c r="L47" s="9" t="inlineStr">
        <is>
          <t>200</t>
        </is>
      </c>
      <c r="M47" s="9" t="inlineStr">
        <is>
          <t>ＭＡＣエアコン</t>
        </is>
      </c>
      <c r="N47" s="9" t="inlineStr">
        <is>
          <t>電装</t>
        </is>
      </c>
      <c r="O47" s="9" t="n">
        <v>240000</v>
      </c>
    </row>
    <row r="48">
      <c r="L48" s="9" t="inlineStr">
        <is>
          <t>201</t>
        </is>
      </c>
      <c r="M48" s="9" t="inlineStr">
        <is>
          <t>100Ｖ　家庭用エアコン</t>
        </is>
      </c>
      <c r="N48" s="9" t="inlineStr">
        <is>
          <t>電装</t>
        </is>
      </c>
      <c r="O48" s="9" t="n">
        <v>580000</v>
      </c>
    </row>
    <row r="49">
      <c r="L49" s="9" t="inlineStr">
        <is>
          <t>202</t>
        </is>
      </c>
      <c r="M49" s="9" t="inlineStr">
        <is>
          <t>12V　エアコン　クールスター</t>
        </is>
      </c>
      <c r="N49" s="9" t="inlineStr">
        <is>
          <t>電装</t>
        </is>
      </c>
      <c r="O49" s="9" t="n">
        <v>550000</v>
      </c>
    </row>
    <row r="50">
      <c r="L50" s="9" t="inlineStr">
        <is>
          <t>203</t>
        </is>
      </c>
      <c r="M50" s="9" t="inlineStr">
        <is>
          <t>12Ｖ　ルーフエアコン</t>
        </is>
      </c>
      <c r="N50" s="9" t="inlineStr">
        <is>
          <t>電装</t>
        </is>
      </c>
      <c r="O50" s="9" t="n">
        <v>380000</v>
      </c>
    </row>
    <row r="51">
      <c r="L51" s="9" t="inlineStr">
        <is>
          <t>204</t>
        </is>
      </c>
      <c r="M51" s="9" t="inlineStr">
        <is>
          <t>12Ｖ　エアコン　ワンクール</t>
        </is>
      </c>
      <c r="N51" s="9" t="inlineStr">
        <is>
          <t>電装</t>
        </is>
      </c>
      <c r="O51" s="9" t="n">
        <v>500000</v>
      </c>
    </row>
    <row r="52">
      <c r="L52" s="9" t="inlineStr">
        <is>
          <t>205</t>
        </is>
      </c>
      <c r="M52" s="9" t="inlineStr">
        <is>
          <t>エアコン配管一部木製隠し</t>
        </is>
      </c>
      <c r="N52" s="9" t="inlineStr">
        <is>
          <t>電装</t>
        </is>
      </c>
      <c r="O52" s="9" t="n">
        <v>80000</v>
      </c>
    </row>
    <row r="53">
      <c r="L53" s="9" t="inlineStr">
        <is>
          <t>206</t>
        </is>
      </c>
      <c r="M53" s="9" t="inlineStr">
        <is>
          <t>リチデンシステム（ポータブル電源デルタ３　100Ah　外部充電＆出力切替）</t>
        </is>
      </c>
      <c r="N53" s="9" t="inlineStr">
        <is>
          <t>電装</t>
        </is>
      </c>
      <c r="O53" s="9" t="n">
        <v>298000</v>
      </c>
    </row>
    <row r="54">
      <c r="L54" s="9" t="inlineStr">
        <is>
          <t>207</t>
        </is>
      </c>
      <c r="M54" s="9" t="inlineStr">
        <is>
          <t>ACDCコンバーター（12Vｴｱｺﾝ外部電源使用ｼｽﾃﾑ）</t>
        </is>
      </c>
      <c r="N54" s="9" t="inlineStr">
        <is>
          <t>電装</t>
        </is>
      </c>
      <c r="O54" s="9" t="n">
        <v>86000</v>
      </c>
    </row>
    <row r="55">
      <c r="L55" s="9" t="inlineStr">
        <is>
          <t>210</t>
        </is>
      </c>
      <c r="M55" s="9" t="inlineStr">
        <is>
          <t>クルーズコントロール</t>
        </is>
      </c>
      <c r="N55" s="9" t="inlineStr">
        <is>
          <t>電装</t>
        </is>
      </c>
      <c r="O55" s="9" t="n">
        <v>90000</v>
      </c>
    </row>
    <row r="56">
      <c r="L56" s="9" t="inlineStr">
        <is>
          <t>220</t>
        </is>
      </c>
      <c r="M56" s="9" t="inlineStr">
        <is>
          <t>オリジナル リチウムサブバッテリーシステム200Ah（走行充電＆AC充電40A）</t>
        </is>
      </c>
      <c r="N56" s="9" t="inlineStr">
        <is>
          <t>電装</t>
        </is>
      </c>
      <c r="O56" s="9" t="n">
        <v>400000</v>
      </c>
    </row>
    <row r="57">
      <c r="L57" s="9" t="inlineStr">
        <is>
          <t>221</t>
        </is>
      </c>
      <c r="M57" s="9" t="inlineStr">
        <is>
          <t>オリジナル リチウムサブバッテリーシステム300Ah（走行充電＆AC充電40A）</t>
        </is>
      </c>
      <c r="N57" s="9" t="inlineStr">
        <is>
          <t>電装</t>
        </is>
      </c>
      <c r="O57" s="9" t="n">
        <v>475000</v>
      </c>
    </row>
    <row r="58">
      <c r="L58" s="9" t="inlineStr">
        <is>
          <t>222</t>
        </is>
      </c>
      <c r="M58" s="9" t="inlineStr">
        <is>
          <t>オリジナル リチウムサブバッテリーシステム400Ah（走行充電＆AC充電40A）</t>
        </is>
      </c>
      <c r="N58" s="9" t="inlineStr">
        <is>
          <t>電装</t>
        </is>
      </c>
      <c r="O58" s="9" t="n">
        <v>550000</v>
      </c>
    </row>
    <row r="59">
      <c r="L59" s="9" t="inlineStr">
        <is>
          <t>223</t>
        </is>
      </c>
      <c r="M59" s="9" t="inlineStr">
        <is>
          <t>リチウムサブバッテリー200Ah（走行充電無し＆AC充電40A）</t>
        </is>
      </c>
      <c r="N59" s="9" t="inlineStr">
        <is>
          <t>Ｔ電装</t>
        </is>
      </c>
      <c r="O59" s="9" t="n">
        <v>400000</v>
      </c>
    </row>
    <row r="60">
      <c r="L60" s="9" t="inlineStr">
        <is>
          <t>224</t>
        </is>
      </c>
      <c r="M60" s="9" t="inlineStr">
        <is>
          <t>リチウムサブバッテリー300Ah（走行充電無し＆AC充電40A）</t>
        </is>
      </c>
      <c r="N60" s="9" t="inlineStr">
        <is>
          <t>T電装</t>
        </is>
      </c>
      <c r="O60" s="9" t="n">
        <v>475000</v>
      </c>
    </row>
    <row r="61">
      <c r="L61" s="9" t="inlineStr">
        <is>
          <t>225</t>
        </is>
      </c>
      <c r="M61" s="9" t="inlineStr">
        <is>
          <t>リチウムサブバッテリー400Ah（走行充電無し＆AC充電40A）</t>
        </is>
      </c>
      <c r="N61" s="9" t="inlineStr">
        <is>
          <t>T電装</t>
        </is>
      </c>
      <c r="O61" s="9" t="n">
        <v>550000</v>
      </c>
    </row>
    <row r="62">
      <c r="L62" s="9" t="inlineStr">
        <is>
          <t>230</t>
        </is>
      </c>
      <c r="M62" s="9" t="inlineStr">
        <is>
          <t>１バーナークッカーシンク仕様（オリジナルカセットガス供給器付）</t>
        </is>
      </c>
      <c r="N62" s="9" t="inlineStr">
        <is>
          <t>装備</t>
        </is>
      </c>
      <c r="O62" s="9" t="n">
        <v>80000</v>
      </c>
    </row>
    <row r="63">
      <c r="L63" s="9" t="inlineStr">
        <is>
          <t>113</t>
        </is>
      </c>
      <c r="M63" s="9" t="inlineStr">
        <is>
          <t>カロッツェリア　7インチ　サイバーナビ</t>
        </is>
      </c>
      <c r="N63" s="9" t="inlineStr">
        <is>
          <t>オーディオ</t>
        </is>
      </c>
      <c r="O63" s="9" t="n">
        <v>219000</v>
      </c>
    </row>
    <row r="64">
      <c r="L64" s="9" t="inlineStr">
        <is>
          <t>114</t>
        </is>
      </c>
      <c r="M64" s="9" t="inlineStr">
        <is>
          <t>カロッツェリア　楽ナビ＆バックアイカメラ</t>
        </is>
      </c>
      <c r="N64" s="9" t="inlineStr">
        <is>
          <t>オーディオ</t>
        </is>
      </c>
      <c r="O64" s="9" t="n">
        <v>194000</v>
      </c>
    </row>
    <row r="65">
      <c r="L65" s="9" t="inlineStr">
        <is>
          <t>127</t>
        </is>
      </c>
      <c r="M65" s="9" t="inlineStr">
        <is>
          <t>パナソニック　ストラーダ　10インチナビ（CD・DVD無し)</t>
        </is>
      </c>
      <c r="N65" s="9" t="inlineStr">
        <is>
          <t>オーディオ</t>
        </is>
      </c>
      <c r="O65" s="9" t="n">
        <v>235000</v>
      </c>
    </row>
    <row r="66">
      <c r="L66" s="9" t="inlineStr">
        <is>
          <t>128</t>
        </is>
      </c>
      <c r="M66" s="9" t="inlineStr">
        <is>
          <t>パナソニック　ストラーダ　7インチナビ（CD・DVD無し）</t>
        </is>
      </c>
      <c r="N66" s="9" t="inlineStr">
        <is>
          <t>オーディオ</t>
        </is>
      </c>
      <c r="O66" s="9" t="n">
        <v>126000</v>
      </c>
    </row>
    <row r="67">
      <c r="L67" s="9" t="inlineStr">
        <is>
          <t>212</t>
        </is>
      </c>
      <c r="M67" s="9" t="inlineStr">
        <is>
          <t>ディスプレイオーディオ　7インチ</t>
        </is>
      </c>
      <c r="N67" s="9" t="inlineStr">
        <is>
          <t>オーディオ</t>
        </is>
      </c>
      <c r="O67" s="9" t="n">
        <v>110000</v>
      </c>
    </row>
    <row r="68">
      <c r="L68" s="9" t="inlineStr">
        <is>
          <t>213</t>
        </is>
      </c>
      <c r="M68" s="9" t="inlineStr">
        <is>
          <t>ディスプレイオーディオ　9インチ</t>
        </is>
      </c>
      <c r="N68" s="9" t="inlineStr">
        <is>
          <t>オーディオ</t>
        </is>
      </c>
      <c r="O68" s="9" t="n">
        <v>150000</v>
      </c>
    </row>
    <row r="69">
      <c r="L69" s="9" t="inlineStr">
        <is>
          <t>214</t>
        </is>
      </c>
      <c r="M69" s="9" t="inlineStr">
        <is>
          <t>ディスプレイオーディオ　11インチ</t>
        </is>
      </c>
      <c r="N69" s="9" t="inlineStr">
        <is>
          <t>オーディオ</t>
        </is>
      </c>
      <c r="O69" s="9" t="n">
        <v>170000</v>
      </c>
    </row>
    <row r="70">
      <c r="L70" s="9" t="inlineStr">
        <is>
          <t>215</t>
        </is>
      </c>
      <c r="M70" s="9" t="inlineStr">
        <is>
          <t>地上デジタルチューナー</t>
        </is>
      </c>
      <c r="N70" s="9" t="inlineStr">
        <is>
          <t>オーディオ</t>
        </is>
      </c>
      <c r="O70" s="9" t="n">
        <v>75000</v>
      </c>
    </row>
    <row r="71">
      <c r="L71" s="9" t="inlineStr">
        <is>
          <t>115</t>
        </is>
      </c>
      <c r="M71" s="9" t="inlineStr">
        <is>
          <t>ナビお客様持ち込み、取付費用一式</t>
        </is>
      </c>
      <c r="N71" s="9" t="inlineStr">
        <is>
          <t>オーディオ</t>
        </is>
      </c>
      <c r="O71" s="9" t="n">
        <v>50000</v>
      </c>
    </row>
    <row r="72">
      <c r="L72" s="9" t="inlineStr">
        <is>
          <t>116</t>
        </is>
      </c>
      <c r="M72" s="9" t="inlineStr">
        <is>
          <t>バックアイカメラ（モニターまたはナビは別途）</t>
        </is>
      </c>
      <c r="N72" s="9" t="inlineStr">
        <is>
          <t>オーディオ</t>
        </is>
      </c>
      <c r="O72" s="9" t="n">
        <v>46800</v>
      </c>
    </row>
    <row r="73">
      <c r="L73" s="9" t="inlineStr">
        <is>
          <t>129</t>
        </is>
      </c>
      <c r="M73" s="9" t="inlineStr">
        <is>
          <t>ＥＴＣ（セットＵＰ込）</t>
        </is>
      </c>
      <c r="N73" s="9" t="inlineStr">
        <is>
          <t>オーディオ</t>
        </is>
      </c>
      <c r="O73" s="9" t="n">
        <v>30000</v>
      </c>
    </row>
    <row r="74">
      <c r="L74" s="9" t="inlineStr">
        <is>
          <t>117</t>
        </is>
      </c>
      <c r="M74" s="9" t="inlineStr">
        <is>
          <t>Kオリジナル　ナビ電源切替リレー</t>
        </is>
      </c>
      <c r="N74" s="9" t="inlineStr">
        <is>
          <t>オーディオ</t>
        </is>
      </c>
      <c r="O74" s="9" t="n">
        <v>25000</v>
      </c>
    </row>
    <row r="75">
      <c r="L75" s="9" t="inlineStr">
        <is>
          <t>145</t>
        </is>
      </c>
      <c r="M75" s="9" t="inlineStr">
        <is>
          <t>フリップダウンＴＶモニター＆スピーカー＆ナビ電源切替リレー</t>
        </is>
      </c>
      <c r="N75" s="9" t="inlineStr">
        <is>
          <t>オーディオ</t>
        </is>
      </c>
      <c r="O75" s="9" t="n">
        <v>125000</v>
      </c>
    </row>
    <row r="76">
      <c r="L76" s="9" t="inlineStr">
        <is>
          <t>148</t>
        </is>
      </c>
      <c r="M76" s="9" t="inlineStr">
        <is>
          <t>19インチ液晶テレビ＆テレビアーム</t>
        </is>
      </c>
      <c r="N76" s="9" t="inlineStr">
        <is>
          <t>オーディオ</t>
        </is>
      </c>
      <c r="O76" s="9" t="n">
        <v>100000</v>
      </c>
    </row>
    <row r="77">
      <c r="L77" s="9" t="inlineStr">
        <is>
          <t>153</t>
        </is>
      </c>
      <c r="M77" s="9" t="inlineStr">
        <is>
          <t>ドライブレコーダー</t>
        </is>
      </c>
      <c r="N77" s="9" t="inlineStr">
        <is>
          <t>オーディオ</t>
        </is>
      </c>
      <c r="O77" s="9" t="n">
        <v>24000</v>
      </c>
    </row>
    <row r="78">
      <c r="L78" s="9" t="inlineStr">
        <is>
          <t>155</t>
        </is>
      </c>
      <c r="M78" s="9" t="inlineStr">
        <is>
          <t>ドライブレコーダー搭載デジタルミラー（デジタルインナーミラー搭載車不可）</t>
        </is>
      </c>
      <c r="N78" s="9" t="inlineStr">
        <is>
          <t>オーディオ</t>
        </is>
      </c>
      <c r="O78" s="9" t="n">
        <v>100000</v>
      </c>
    </row>
    <row r="79">
      <c r="L79" s="9" t="inlineStr">
        <is>
          <t>154</t>
        </is>
      </c>
      <c r="M79" s="9" t="inlineStr">
        <is>
          <t>ドライブレコーダー（前後録画型）</t>
        </is>
      </c>
      <c r="N79" s="9" t="inlineStr">
        <is>
          <t>オーディオ</t>
        </is>
      </c>
      <c r="O79" s="9" t="n">
        <v>58000</v>
      </c>
    </row>
    <row r="80">
      <c r="L80" s="9" t="inlineStr">
        <is>
          <t>137</t>
        </is>
      </c>
      <c r="M80" s="9" t="inlineStr">
        <is>
          <t>ガゼルアンテナ（ルーフ取付式）</t>
        </is>
      </c>
      <c r="N80" s="9" t="inlineStr">
        <is>
          <t>オーディオ</t>
        </is>
      </c>
      <c r="O80" s="9" t="n">
        <v>68000</v>
      </c>
    </row>
    <row r="81">
      <c r="L81" s="9" t="inlineStr">
        <is>
          <t>138</t>
        </is>
      </c>
      <c r="M81" s="9" t="inlineStr">
        <is>
          <t>ＢＳアンテナ（ルーフ取付式）</t>
        </is>
      </c>
      <c r="N81" s="9" t="inlineStr">
        <is>
          <t>オーディオ</t>
        </is>
      </c>
      <c r="O81" s="9" t="n">
        <v>230000</v>
      </c>
    </row>
    <row r="82">
      <c r="L82" s="9" t="inlineStr">
        <is>
          <t>151</t>
        </is>
      </c>
      <c r="M82" s="9" t="inlineStr">
        <is>
          <t>常時投影型ミラーモニター</t>
        </is>
      </c>
      <c r="N82" s="9" t="inlineStr">
        <is>
          <t>オーディオ</t>
        </is>
      </c>
      <c r="O82" s="9" t="n">
        <v>64000</v>
      </c>
    </row>
    <row r="83">
      <c r="L83" s="9" t="inlineStr">
        <is>
          <t>217</t>
        </is>
      </c>
      <c r="M83" s="9" t="inlineStr">
        <is>
          <t>デジタルワイヤレスリアカメラ（トレーラー）</t>
        </is>
      </c>
      <c r="N83" s="9" t="inlineStr">
        <is>
          <t>オーディオ</t>
        </is>
      </c>
      <c r="O83" s="9" t="n">
        <v>150000</v>
      </c>
    </row>
    <row r="84">
      <c r="L84" s="9" t="inlineStr">
        <is>
          <t>140</t>
        </is>
      </c>
      <c r="M84" s="9" t="inlineStr">
        <is>
          <t>車載専用ラップ式トイレ　ラップル　12V TYPE-A</t>
        </is>
      </c>
      <c r="N84" s="9" t="inlineStr">
        <is>
          <t>装備</t>
        </is>
      </c>
      <c r="O84" s="9" t="n">
        <v>165000</v>
      </c>
    </row>
    <row r="85">
      <c r="L85" s="9" t="inlineStr">
        <is>
          <t>141</t>
        </is>
      </c>
      <c r="M85" s="9" t="inlineStr">
        <is>
          <t>ラップポン・トレッカー　100V　シルバー</t>
        </is>
      </c>
      <c r="N85" s="9" t="inlineStr">
        <is>
          <t>装備</t>
        </is>
      </c>
      <c r="O85" s="9" t="n">
        <v>175000</v>
      </c>
    </row>
    <row r="86">
      <c r="L86" s="9" t="inlineStr">
        <is>
          <t>142</t>
        </is>
      </c>
      <c r="M86" s="9" t="inlineStr">
        <is>
          <t>ポータブルトイレ　ルーシール</t>
        </is>
      </c>
      <c r="N86" s="9" t="inlineStr">
        <is>
          <t>装備</t>
        </is>
      </c>
      <c r="O86" s="9" t="n">
        <v>108000</v>
      </c>
    </row>
    <row r="87">
      <c r="L87" s="9" t="inlineStr">
        <is>
          <t>240</t>
        </is>
      </c>
      <c r="M87" s="9" t="inlineStr">
        <is>
          <t>電動ソラノシートに変更（１脚）</t>
        </is>
      </c>
      <c r="N87" s="9" t="inlineStr">
        <is>
          <t>装備</t>
        </is>
      </c>
      <c r="O87" s="9" t="n">
        <v>350000</v>
      </c>
    </row>
    <row r="88">
      <c r="L88" s="9" t="inlineStr">
        <is>
          <t>241</t>
        </is>
      </c>
      <c r="M88" s="9" t="inlineStr">
        <is>
          <t>電動ソラノシートに変更（２脚）</t>
        </is>
      </c>
      <c r="N88" s="9" t="inlineStr">
        <is>
          <t>装備</t>
        </is>
      </c>
      <c r="O88" s="9" t="n">
        <v>700000</v>
      </c>
    </row>
    <row r="89">
      <c r="L89" s="9" t="inlineStr">
        <is>
          <t>105</t>
        </is>
      </c>
      <c r="M89" s="9" t="inlineStr">
        <is>
          <t>遮熱カーテン裏地縫込み追加</t>
        </is>
      </c>
      <c r="N89" s="9" t="inlineStr">
        <is>
          <t>縫製</t>
        </is>
      </c>
      <c r="O89" s="9" t="n">
        <v>50000</v>
      </c>
    </row>
    <row r="90">
      <c r="L90" s="9" t="inlineStr">
        <is>
          <t>149</t>
        </is>
      </c>
      <c r="M90" s="9" t="inlineStr">
        <is>
          <t>マルチスクリーン　ベンチレーター用</t>
        </is>
      </c>
      <c r="N90" s="9" t="inlineStr">
        <is>
          <t>縫製</t>
        </is>
      </c>
      <c r="O90" s="9" t="n">
        <v>4000</v>
      </c>
    </row>
    <row r="91">
      <c r="L91" s="9" t="inlineStr">
        <is>
          <t>125</t>
        </is>
      </c>
      <c r="M91" s="9" t="inlineStr">
        <is>
          <t>マルチスクリーン　フロント三枚セット</t>
        </is>
      </c>
      <c r="N91" s="9" t="inlineStr">
        <is>
          <t>縫製</t>
        </is>
      </c>
      <c r="O91" s="9" t="n">
        <v>19000</v>
      </c>
    </row>
    <row r="92">
      <c r="L92" s="9" t="inlineStr">
        <is>
          <t>126</t>
        </is>
      </c>
      <c r="M92" s="9" t="inlineStr">
        <is>
          <t>マルチスクリーン　リヤ7枚セット</t>
        </is>
      </c>
      <c r="N92" s="9" t="inlineStr">
        <is>
          <t>縫製</t>
        </is>
      </c>
      <c r="O92" s="9" t="n">
        <v>33000</v>
      </c>
    </row>
    <row r="93">
      <c r="L93" s="9" t="inlineStr">
        <is>
          <t>131</t>
        </is>
      </c>
      <c r="M93" s="9" t="inlineStr">
        <is>
          <t>反転対座加工＆対座クッション（１脚）</t>
        </is>
      </c>
      <c r="N93" s="9" t="inlineStr">
        <is>
          <t>縫製</t>
        </is>
      </c>
      <c r="O93" s="9" t="n">
        <v>35000</v>
      </c>
    </row>
    <row r="94">
      <c r="L94" s="9" t="inlineStr">
        <is>
          <t>187</t>
        </is>
      </c>
      <c r="M94" s="9" t="inlineStr">
        <is>
          <t>シート生地　ツートン仕様</t>
        </is>
      </c>
      <c r="N94" s="9" t="inlineStr">
        <is>
          <t>縫製</t>
        </is>
      </c>
      <c r="O94" s="9" t="n">
        <v>50000</v>
      </c>
    </row>
    <row r="95">
      <c r="L95" s="9" t="inlineStr">
        <is>
          <t>188</t>
        </is>
      </c>
      <c r="M95" s="9" t="inlineStr">
        <is>
          <t>シート・ベッド　スエード生地仕様</t>
        </is>
      </c>
      <c r="N95" s="9" t="inlineStr">
        <is>
          <t>縫製</t>
        </is>
      </c>
      <c r="O95" s="9" t="n">
        <v>120000</v>
      </c>
    </row>
    <row r="96">
      <c r="L96" s="9" t="inlineStr">
        <is>
          <t>189</t>
        </is>
      </c>
      <c r="M96" s="9" t="inlineStr">
        <is>
          <t>シート・ベッド　ベルギー合成レザー</t>
        </is>
      </c>
      <c r="N96" s="9" t="inlineStr">
        <is>
          <t>縫製</t>
        </is>
      </c>
      <c r="O96" s="9" t="n">
        <v>100000</v>
      </c>
    </row>
    <row r="97">
      <c r="L97" s="9" t="inlineStr">
        <is>
          <t>180</t>
        </is>
      </c>
      <c r="M97" s="9" t="inlineStr">
        <is>
          <t>仕切りカーテン　小</t>
        </is>
      </c>
      <c r="N97" s="9" t="inlineStr">
        <is>
          <t>縫製</t>
        </is>
      </c>
      <c r="O97" s="9" t="n">
        <v>20000</v>
      </c>
    </row>
    <row r="98">
      <c r="L98" s="9" t="inlineStr">
        <is>
          <t>181</t>
        </is>
      </c>
      <c r="M98" s="9" t="inlineStr">
        <is>
          <t>仕切りカーテン　大</t>
        </is>
      </c>
      <c r="N98" s="9" t="inlineStr">
        <is>
          <t>縫製</t>
        </is>
      </c>
      <c r="O98" s="9" t="n">
        <v>42000</v>
      </c>
    </row>
    <row r="99">
      <c r="L99" s="9" t="inlineStr">
        <is>
          <t>182</t>
        </is>
      </c>
      <c r="M99" s="9" t="inlineStr">
        <is>
          <t>ソファーパイピング仕様</t>
        </is>
      </c>
      <c r="N99" s="9" t="inlineStr">
        <is>
          <t>縫製</t>
        </is>
      </c>
      <c r="O99" s="9" t="n">
        <v>150000</v>
      </c>
    </row>
    <row r="100">
      <c r="L100" s="9" t="inlineStr">
        <is>
          <t>101</t>
        </is>
      </c>
      <c r="M100" s="9" t="inlineStr">
        <is>
          <t>寒冷地仕様　ﾒｲﾝBT容量UP</t>
        </is>
      </c>
      <c r="N100" s="9" t="inlineStr">
        <is>
          <t>メーカーＯＰ</t>
        </is>
      </c>
      <c r="O100" s="9" t="n">
        <v>35000</v>
      </c>
    </row>
    <row r="101">
      <c r="L101" s="9" t="inlineStr">
        <is>
          <t>159</t>
        </is>
      </c>
      <c r="M101" s="9" t="inlineStr">
        <is>
          <t>ＬＥＤヘッドランプ</t>
        </is>
      </c>
      <c r="N101" s="9" t="inlineStr">
        <is>
          <t>メーカーＯＰ</t>
        </is>
      </c>
      <c r="O101" s="9" t="n">
        <v>60000</v>
      </c>
    </row>
    <row r="102">
      <c r="L102" s="9" t="inlineStr">
        <is>
          <t>160</t>
        </is>
      </c>
      <c r="M102" s="9" t="inlineStr">
        <is>
          <t>パワ-スライドドア　（*注　ｽﾗｲﾄﾞﾄﾞｱ部 窓開閉なし）</t>
        </is>
      </c>
      <c r="N102" s="9" t="inlineStr">
        <is>
          <t>メーカーＯＰ</t>
        </is>
      </c>
      <c r="O102" s="9" t="n">
        <v>64000</v>
      </c>
    </row>
    <row r="103">
      <c r="L103" s="9" t="inlineStr">
        <is>
          <t>156</t>
        </is>
      </c>
      <c r="M103" s="9" t="inlineStr">
        <is>
          <t>リヤヒーター</t>
        </is>
      </c>
      <c r="N103" s="9" t="inlineStr">
        <is>
          <t>メーカーＯＰ</t>
        </is>
      </c>
      <c r="O103" s="9" t="n">
        <v>25000</v>
      </c>
    </row>
    <row r="104">
      <c r="L104" s="9" t="inlineStr">
        <is>
          <t>161</t>
        </is>
      </c>
      <c r="M104" s="9" t="inlineStr">
        <is>
          <t>リヤクーラー</t>
        </is>
      </c>
      <c r="N104" s="9" t="inlineStr">
        <is>
          <t>メーカーＯＰ</t>
        </is>
      </c>
      <c r="O104" s="9" t="n">
        <v>55000</v>
      </c>
    </row>
    <row r="105">
      <c r="L105" s="9" t="inlineStr">
        <is>
          <t>162</t>
        </is>
      </c>
      <c r="M105" s="9" t="inlineStr">
        <is>
          <t>リヤフォグランプ</t>
        </is>
      </c>
      <c r="N105" s="9" t="inlineStr">
        <is>
          <t>メーカーＯＰ</t>
        </is>
      </c>
      <c r="O105" s="9" t="n">
        <v>10000</v>
      </c>
    </row>
    <row r="106">
      <c r="L106" s="9" t="inlineStr">
        <is>
          <t>163</t>
        </is>
      </c>
      <c r="M106" s="9" t="inlineStr">
        <is>
          <t>ホワイトパールクリスタルシャイン</t>
        </is>
      </c>
      <c r="N106" s="9" t="inlineStr">
        <is>
          <t>メーカーＯＰ</t>
        </is>
      </c>
      <c r="O106" s="9" t="n">
        <v>30000</v>
      </c>
    </row>
    <row r="107">
      <c r="L107" s="9" t="inlineStr">
        <is>
          <t>164</t>
        </is>
      </c>
      <c r="M107" s="9" t="inlineStr">
        <is>
          <t>ラグジュアリーパールトーニング（ｸﾞﾗﾝﾄﾞｷｬﾋﾞﾝ）</t>
        </is>
      </c>
      <c r="N107" s="9" t="inlineStr">
        <is>
          <t>メーカーＯＰ</t>
        </is>
      </c>
      <c r="O107" s="9" t="n">
        <v>70000</v>
      </c>
    </row>
    <row r="108">
      <c r="L108" s="9" t="inlineStr">
        <is>
          <t>165</t>
        </is>
      </c>
      <c r="M108" s="9" t="inlineStr">
        <is>
          <t>助手席エアバッグ</t>
        </is>
      </c>
      <c r="N108" s="9" t="inlineStr">
        <is>
          <t>メーカーＯＰ</t>
        </is>
      </c>
      <c r="O108" s="9" t="n">
        <v>15000</v>
      </c>
    </row>
    <row r="109">
      <c r="L109" s="9" t="inlineStr">
        <is>
          <t>166</t>
        </is>
      </c>
      <c r="M109" s="9" t="inlineStr">
        <is>
          <t>ﾃﾞｼﾞﾀﾙｲﾝﾅｰﾐﾗｰ(ｶﾒﾗ洗浄機能付)</t>
        </is>
      </c>
      <c r="N109" s="9" t="inlineStr">
        <is>
          <t>メーカーＯＰ</t>
        </is>
      </c>
      <c r="O109" s="9" t="n">
        <v>50000</v>
      </c>
    </row>
    <row r="110">
      <c r="L110" s="9" t="inlineStr">
        <is>
          <t>167</t>
        </is>
      </c>
      <c r="M110" s="9" t="inlineStr">
        <is>
          <t>ﾊﾞｯｸﾓﾆﾀｰ内臓ﾃﾞｼﾞﾀﾙｲﾝﾅｰﾐﾗｰ(ｶﾒﾗ洗浄機能付)</t>
        </is>
      </c>
      <c r="N110" s="9" t="inlineStr">
        <is>
          <t>メーカーＯＰ</t>
        </is>
      </c>
      <c r="O110" s="9" t="n">
        <v>74000</v>
      </c>
    </row>
    <row r="111">
      <c r="L111" s="9" t="inlineStr">
        <is>
          <t>168</t>
        </is>
      </c>
      <c r="M111" s="9" t="inlineStr">
        <is>
          <t>バン架装用パッケージ</t>
        </is>
      </c>
      <c r="N111" s="9" t="inlineStr">
        <is>
          <t>メーカーＯＰ</t>
        </is>
      </c>
      <c r="O111" s="9" t="n">
        <v>15000</v>
      </c>
    </row>
    <row r="112">
      <c r="L112" s="9" t="inlineStr">
        <is>
          <t>176</t>
        </is>
      </c>
      <c r="M112" s="9" t="inlineStr">
        <is>
          <t>イージークローザー（スライドドア・バックドア）</t>
        </is>
      </c>
      <c r="N112" s="9" t="inlineStr">
        <is>
          <t>メーカーＯＰ</t>
        </is>
      </c>
      <c r="O112" s="9" t="n">
        <v>15000</v>
      </c>
    </row>
    <row r="113">
      <c r="L113" s="9" t="inlineStr">
        <is>
          <t>250</t>
        </is>
      </c>
      <c r="M113" s="9" t="inlineStr">
        <is>
          <t>トヨタセーフティセンスＰ　［ハイエース］</t>
        </is>
      </c>
      <c r="N113" s="9" t="inlineStr">
        <is>
          <t>メーカーＯＰ</t>
        </is>
      </c>
      <c r="O113" s="9" t="n"/>
    </row>
    <row r="114">
      <c r="L114" s="9" t="inlineStr">
        <is>
          <t>251</t>
        </is>
      </c>
      <c r="M114" s="9" t="inlineStr">
        <is>
          <t>トヨタセーフティセンスＰ　［ハイエース］</t>
        </is>
      </c>
      <c r="N114" s="9" t="inlineStr">
        <is>
          <t>メーカーＯＰ</t>
        </is>
      </c>
      <c r="O114" s="9" t="n"/>
    </row>
    <row r="115">
      <c r="L115" s="9" t="inlineStr">
        <is>
          <t>252</t>
        </is>
      </c>
      <c r="M115" s="9" t="inlineStr">
        <is>
          <t>トヨタセーフティセンスＰ　［ハイエース］</t>
        </is>
      </c>
      <c r="N115" s="9" t="inlineStr">
        <is>
          <t>メーカーＯＰ</t>
        </is>
      </c>
      <c r="O115" s="9" t="n"/>
    </row>
    <row r="116">
      <c r="L116" s="9" t="inlineStr">
        <is>
          <t>253</t>
        </is>
      </c>
      <c r="M116" s="9" t="inlineStr">
        <is>
          <t>トヨタセーフティセンスＰ　［ハイエース］</t>
        </is>
      </c>
      <c r="N116" s="9" t="inlineStr">
        <is>
          <t>メーカーＯＰ</t>
        </is>
      </c>
      <c r="O116" s="9" t="n"/>
    </row>
    <row r="117">
      <c r="L117" s="9" t="inlineStr">
        <is>
          <t>254</t>
        </is>
      </c>
      <c r="M117" s="9" t="inlineStr">
        <is>
          <t>ＶＳＣ＆ＴＲＣ</t>
        </is>
      </c>
      <c r="N117" s="9" t="inlineStr">
        <is>
          <t>メーカーＯＰ</t>
        </is>
      </c>
      <c r="O117" s="9" t="n"/>
    </row>
    <row r="118">
      <c r="L118" s="9" t="inlineStr">
        <is>
          <t>255</t>
        </is>
      </c>
      <c r="M118" s="9" t="inlineStr">
        <is>
          <t>アルミホイール</t>
        </is>
      </c>
      <c r="N118" s="9" t="inlineStr">
        <is>
          <t>メーカーＯＰ</t>
        </is>
      </c>
      <c r="O118" s="9" t="n">
        <v>60000</v>
      </c>
    </row>
    <row r="119">
      <c r="L119" s="9" t="inlineStr">
        <is>
          <t>256</t>
        </is>
      </c>
      <c r="M119" s="9" t="inlineStr">
        <is>
          <t>パノラミックビューモニター</t>
        </is>
      </c>
      <c r="N119" s="9" t="inlineStr">
        <is>
          <t>メーカーＯＰ</t>
        </is>
      </c>
      <c r="O119" s="9" t="n">
        <v>34000</v>
      </c>
    </row>
    <row r="120">
      <c r="L120" s="9" t="inlineStr">
        <is>
          <t>258</t>
        </is>
      </c>
      <c r="M120" s="9" t="inlineStr">
        <is>
          <t>ﾊﾞｯｸﾐﾗｰ内臓自動防眩ｲﾝﾅｰﾐﾗｰ</t>
        </is>
      </c>
      <c r="N120" s="9" t="inlineStr">
        <is>
          <t>メーカーＯＰ</t>
        </is>
      </c>
      <c r="O120" s="9" t="n">
        <v>34000</v>
      </c>
    </row>
    <row r="121">
      <c r="L121" s="9" t="inlineStr">
        <is>
          <t>261</t>
        </is>
      </c>
      <c r="M121" s="9" t="inlineStr">
        <is>
          <t>ヒーター付きドアミラー</t>
        </is>
      </c>
      <c r="N121" s="9" t="inlineStr">
        <is>
          <t>メーカーＯＰ</t>
        </is>
      </c>
      <c r="O121" s="9" t="n"/>
    </row>
    <row r="122">
      <c r="L122" s="9" t="inlineStr">
        <is>
          <t>169</t>
        </is>
      </c>
      <c r="M122" s="9" t="inlineStr">
        <is>
          <t>サイドバイザー（TOYOTA )</t>
        </is>
      </c>
      <c r="N122" s="9" t="inlineStr">
        <is>
          <t>ディーラーＯＰ</t>
        </is>
      </c>
      <c r="O122" s="9" t="n">
        <v>14400</v>
      </c>
    </row>
    <row r="123">
      <c r="L123" s="9" t="inlineStr">
        <is>
          <t>174</t>
        </is>
      </c>
      <c r="M123" s="9" t="inlineStr">
        <is>
          <t>LEDフロントフォグランプ</t>
        </is>
      </c>
      <c r="N123" s="9" t="inlineStr">
        <is>
          <t>ディーラーＯＰ</t>
        </is>
      </c>
      <c r="O123" s="9" t="n">
        <v>55200</v>
      </c>
    </row>
    <row r="124">
      <c r="L124" s="9" t="inlineStr">
        <is>
          <t>300</t>
        </is>
      </c>
      <c r="M124" s="9" t="inlineStr">
        <is>
          <t>ＪＴＯＰルーフ　ｽｰﾊﾟｰﾛﾝｸﾞ</t>
        </is>
      </c>
      <c r="N124" s="9" t="inlineStr">
        <is>
          <t>ボディー</t>
        </is>
      </c>
      <c r="O124" s="9" t="n">
        <v>680000</v>
      </c>
    </row>
    <row r="125">
      <c r="L125" s="9" t="inlineStr">
        <is>
          <t>301</t>
        </is>
      </c>
      <c r="M125" s="9" t="inlineStr">
        <is>
          <t>ジェントリールーフ　ｽｰﾊﾟｰﾛﾝｸﾞ</t>
        </is>
      </c>
      <c r="N125" s="9" t="inlineStr">
        <is>
          <t>ボディー</t>
        </is>
      </c>
      <c r="O125" s="9" t="n">
        <v>1100000</v>
      </c>
    </row>
    <row r="126">
      <c r="L126" s="9" t="inlineStr">
        <is>
          <t>302</t>
        </is>
      </c>
      <c r="M126" s="9" t="inlineStr">
        <is>
          <t>ジェントリールーフ　ﾜｲﾄﾞﾛﾝｸﾞ</t>
        </is>
      </c>
      <c r="N126" s="9" t="inlineStr">
        <is>
          <t>ボディー</t>
        </is>
      </c>
      <c r="O126" s="9" t="n">
        <v>1100000</v>
      </c>
    </row>
    <row r="127">
      <c r="L127" s="9" t="inlineStr">
        <is>
          <t>303</t>
        </is>
      </c>
      <c r="M127" s="9" t="inlineStr">
        <is>
          <t>クィーンハット　ｽｰﾊﾟｰﾛﾝｸﾞ</t>
        </is>
      </c>
      <c r="N127" s="9" t="inlineStr">
        <is>
          <t>ボディー</t>
        </is>
      </c>
      <c r="O127" s="9" t="n">
        <v>1300000</v>
      </c>
    </row>
    <row r="128">
      <c r="L128" s="9" t="inlineStr">
        <is>
          <t>304</t>
        </is>
      </c>
      <c r="M128" s="9" t="inlineStr">
        <is>
          <t>クィーンハット　ﾜｲﾄﾞﾛﾝｸﾞ</t>
        </is>
      </c>
      <c r="N128" s="9" t="inlineStr">
        <is>
          <t>ボディー</t>
        </is>
      </c>
      <c r="O128" s="9" t="n">
        <v>1300000</v>
      </c>
    </row>
    <row r="129">
      <c r="L129" s="9" t="inlineStr">
        <is>
          <t>305</t>
        </is>
      </c>
      <c r="M129" s="9" t="inlineStr">
        <is>
          <t>アレート　ルーフ　ｽｰﾊﾟｰﾛﾝｸﾞ</t>
        </is>
      </c>
      <c r="N129" s="9" t="inlineStr">
        <is>
          <t>ボディー</t>
        </is>
      </c>
      <c r="O129" s="9" t="n">
        <v>1100000</v>
      </c>
    </row>
    <row r="130">
      <c r="L130" s="9" t="inlineStr">
        <is>
          <t>306</t>
        </is>
      </c>
      <c r="M130" s="9" t="inlineStr">
        <is>
          <t>TIPTOPルーフ　ﾜｲﾄﾞﾛﾝｸﾞ</t>
        </is>
      </c>
      <c r="N130" s="9" t="inlineStr">
        <is>
          <t>ボディー</t>
        </is>
      </c>
      <c r="O130" s="9" t="n">
        <v>1100000</v>
      </c>
    </row>
    <row r="131">
      <c r="L131" s="9" t="inlineStr">
        <is>
          <t>310</t>
        </is>
      </c>
      <c r="M131" s="9" t="inlineStr">
        <is>
          <t>左サイドボディー拡張　イルデルフィーノ　＆　エントランスドア</t>
        </is>
      </c>
      <c r="N131" s="9" t="inlineStr">
        <is>
          <t>ボディー</t>
        </is>
      </c>
      <c r="O131" s="9" t="n">
        <v>930000</v>
      </c>
    </row>
    <row r="132">
      <c r="L132" s="9" t="inlineStr">
        <is>
          <t>311</t>
        </is>
      </c>
      <c r="M132" s="9" t="inlineStr">
        <is>
          <t>右サイド全出窓　（アクリル窓別途）</t>
        </is>
      </c>
      <c r="N132" s="9" t="inlineStr">
        <is>
          <t>ボディー</t>
        </is>
      </c>
      <c r="O132" s="9" t="n">
        <v>250000</v>
      </c>
    </row>
    <row r="133">
      <c r="L133" s="9" t="inlineStr">
        <is>
          <t>312</t>
        </is>
      </c>
      <c r="M133" s="9" t="inlineStr">
        <is>
          <t>右サイドリア側出窓　ウィンディー出窓　（アクリル窓別途）</t>
        </is>
      </c>
      <c r="N133" s="9" t="inlineStr">
        <is>
          <t>ボディー</t>
        </is>
      </c>
      <c r="O133" s="9" t="n">
        <v>150000</v>
      </c>
    </row>
    <row r="134">
      <c r="L134" s="9" t="inlineStr">
        <is>
          <t>313</t>
        </is>
      </c>
      <c r="M134" s="9" t="inlineStr">
        <is>
          <t>リアゲート窓　ＦＲＰ板　断熱　（アクリル窓別途）</t>
        </is>
      </c>
      <c r="N134" s="9" t="inlineStr">
        <is>
          <t>ボディー</t>
        </is>
      </c>
      <c r="O134" s="9" t="n">
        <v>100000</v>
      </c>
    </row>
    <row r="135">
      <c r="L135" s="9" t="inlineStr">
        <is>
          <t>314</t>
        </is>
      </c>
      <c r="M135" s="9" t="inlineStr">
        <is>
          <t>リアゲート窓　ＦＲＰ出窓　断熱　（アクリル二重窓込み）</t>
        </is>
      </c>
      <c r="N135" s="9" t="inlineStr">
        <is>
          <t>ボディー</t>
        </is>
      </c>
      <c r="O135" s="9" t="n">
        <v>250000</v>
      </c>
    </row>
    <row r="136">
      <c r="L136" s="9" t="inlineStr">
        <is>
          <t>315</t>
        </is>
      </c>
      <c r="M136" s="9" t="inlineStr">
        <is>
          <t>右サイド　シェスタ出窓（アクリル二重窓2枚込み）</t>
        </is>
      </c>
      <c r="N136" s="9" t="inlineStr">
        <is>
          <t>ボディー</t>
        </is>
      </c>
      <c r="O136" s="9" t="n">
        <v>430000</v>
      </c>
    </row>
    <row r="137">
      <c r="L137" s="9" t="inlineStr">
        <is>
          <t>316</t>
        </is>
      </c>
      <c r="M137" s="9" t="inlineStr">
        <is>
          <t>左サイドリア　シェスタ出窓</t>
        </is>
      </c>
      <c r="N137" s="9" t="inlineStr">
        <is>
          <t>ボディー</t>
        </is>
      </c>
      <c r="O137" s="9" t="n">
        <v>120000</v>
      </c>
    </row>
    <row r="138">
      <c r="L138" s="9" t="inlineStr">
        <is>
          <t>320</t>
        </is>
      </c>
      <c r="M138" s="9" t="inlineStr">
        <is>
          <t>アクリル二重窓　網戸　スクリーン付　900×400</t>
        </is>
      </c>
      <c r="N138" s="9" t="inlineStr">
        <is>
          <t>ボディー</t>
        </is>
      </c>
      <c r="O138" s="9" t="n">
        <v>100000</v>
      </c>
    </row>
    <row r="139">
      <c r="L139" s="9" t="inlineStr">
        <is>
          <t>321</t>
        </is>
      </c>
      <c r="M139" s="9" t="inlineStr">
        <is>
          <t>アクリル二重窓　網戸　スクリーン付　500×300</t>
        </is>
      </c>
      <c r="N139" s="9" t="inlineStr">
        <is>
          <t>ボディー</t>
        </is>
      </c>
      <c r="O139" s="9" t="n">
        <v>80000</v>
      </c>
    </row>
    <row r="140">
      <c r="L140" s="9" t="inlineStr">
        <is>
          <t>325</t>
        </is>
      </c>
      <c r="M140" s="9" t="inlineStr">
        <is>
          <t>タウンエース　ポップアップルーフ</t>
        </is>
      </c>
      <c r="N140" s="9" t="inlineStr">
        <is>
          <t>ボディー</t>
        </is>
      </c>
      <c r="O140" s="9" t="n">
        <v>1500000</v>
      </c>
    </row>
    <row r="141">
      <c r="L141" s="9" t="inlineStr">
        <is>
          <t>150</t>
        </is>
      </c>
      <c r="M141" s="9" t="inlineStr">
        <is>
          <t>鎚起銅器カップホルダー　1ケ@2,000円</t>
        </is>
      </c>
      <c r="N141" s="9" t="inlineStr">
        <is>
          <t>テーブル</t>
        </is>
      </c>
      <c r="O141" s="9" t="n">
        <v>2000</v>
      </c>
    </row>
    <row r="142">
      <c r="L142" s="9" t="inlineStr">
        <is>
          <t>340</t>
        </is>
      </c>
      <c r="M142" s="9" t="inlineStr">
        <is>
          <t>鎚起銅器カップホルダー　1ケ@2,000円　２ケ</t>
        </is>
      </c>
      <c r="N142" s="9" t="inlineStr">
        <is>
          <t>テーブル</t>
        </is>
      </c>
      <c r="O142" s="9" t="n">
        <v>4000</v>
      </c>
    </row>
    <row r="143">
      <c r="L143" s="9" t="inlineStr">
        <is>
          <t>341</t>
        </is>
      </c>
      <c r="M143" s="9" t="inlineStr">
        <is>
          <t>鎚起銅器カップホルダー　1ケ@2,000円　４ケ</t>
        </is>
      </c>
      <c r="N143" s="9" t="inlineStr">
        <is>
          <t>テーブル</t>
        </is>
      </c>
      <c r="O143" s="9" t="n">
        <v>8000</v>
      </c>
    </row>
    <row r="144">
      <c r="L144" s="9" t="inlineStr">
        <is>
          <t>342</t>
        </is>
      </c>
      <c r="M144" s="9" t="inlineStr">
        <is>
          <t>鎚起銅器カップホルダー　1ケ@2,000円　６ケ</t>
        </is>
      </c>
      <c r="N144" s="9" t="inlineStr">
        <is>
          <t>テーブル</t>
        </is>
      </c>
      <c r="O144" s="9" t="n">
        <v>12000</v>
      </c>
    </row>
    <row r="145">
      <c r="L145" s="9" t="inlineStr">
        <is>
          <t>343</t>
        </is>
      </c>
      <c r="M145" s="9" t="inlineStr">
        <is>
          <t>鎚起銅器カップホルダー　1ケ@2,000円　８ケ</t>
        </is>
      </c>
      <c r="N145" s="9" t="inlineStr">
        <is>
          <t>テーブル</t>
        </is>
      </c>
      <c r="O145" s="9" t="n">
        <v>16000</v>
      </c>
    </row>
    <row r="146">
      <c r="L146" s="9" t="inlineStr">
        <is>
          <t>344</t>
        </is>
      </c>
      <c r="M146" s="9" t="inlineStr">
        <is>
          <t>ステンレスカップホルダー　1ケ</t>
        </is>
      </c>
      <c r="N146" s="9" t="inlineStr">
        <is>
          <t>テーブル</t>
        </is>
      </c>
      <c r="O146" s="9" t="n">
        <v>1000</v>
      </c>
    </row>
    <row r="147">
      <c r="L147" s="9" t="inlineStr">
        <is>
          <t>345</t>
        </is>
      </c>
      <c r="M147" s="9" t="inlineStr">
        <is>
          <t>ステンレスカップホルダー　2ケ</t>
        </is>
      </c>
      <c r="N147" s="9" t="inlineStr">
        <is>
          <t>テーブル</t>
        </is>
      </c>
      <c r="O147" s="9" t="n">
        <v>2000</v>
      </c>
    </row>
    <row r="148">
      <c r="L148" s="9" t="inlineStr">
        <is>
          <t>346</t>
        </is>
      </c>
      <c r="M148" s="9" t="inlineStr">
        <is>
          <t>ステンレスカップホルダー　4ケ</t>
        </is>
      </c>
      <c r="N148" s="9" t="inlineStr">
        <is>
          <t>テーブル</t>
        </is>
      </c>
      <c r="O148" s="9" t="n">
        <v>4000</v>
      </c>
    </row>
    <row r="149">
      <c r="L149" s="9" t="inlineStr">
        <is>
          <t>350</t>
        </is>
      </c>
      <c r="M149" s="9" t="inlineStr">
        <is>
          <t>テーブル</t>
        </is>
      </c>
      <c r="N149" s="9" t="inlineStr">
        <is>
          <t>テーブル</t>
        </is>
      </c>
      <c r="O149" s="9" t="n"/>
    </row>
    <row r="150">
      <c r="L150" s="9" t="inlineStr">
        <is>
          <t>351</t>
        </is>
      </c>
      <c r="M150" s="9" t="inlineStr">
        <is>
          <t>テーブル　700×450</t>
        </is>
      </c>
      <c r="N150" s="9" t="inlineStr">
        <is>
          <t>テーブル</t>
        </is>
      </c>
      <c r="O150" s="9" t="n"/>
    </row>
    <row r="151">
      <c r="L151" s="9" t="inlineStr">
        <is>
          <t>352</t>
        </is>
      </c>
      <c r="M151" s="9" t="inlineStr">
        <is>
          <t>テーブル　900×450</t>
        </is>
      </c>
      <c r="N151" s="9" t="inlineStr">
        <is>
          <t>テーブル</t>
        </is>
      </c>
      <c r="O151" s="9" t="n"/>
    </row>
    <row r="152">
      <c r="L152" s="9" t="inlineStr">
        <is>
          <t>353</t>
        </is>
      </c>
      <c r="M152" s="9" t="inlineStr">
        <is>
          <t>テーブル　600×400</t>
        </is>
      </c>
      <c r="N152" s="9" t="inlineStr">
        <is>
          <t>テーブル</t>
        </is>
      </c>
      <c r="O152" s="9" t="n"/>
    </row>
    <row r="153">
      <c r="L153" s="9" t="inlineStr">
        <is>
          <t>354</t>
        </is>
      </c>
      <c r="M153" s="9" t="inlineStr">
        <is>
          <t>テーブル　800×400</t>
        </is>
      </c>
      <c r="N153" s="9" t="inlineStr">
        <is>
          <t>テーブル</t>
        </is>
      </c>
      <c r="O153" s="9" t="n"/>
    </row>
    <row r="154">
      <c r="L154" s="9" t="inlineStr">
        <is>
          <t>355</t>
        </is>
      </c>
      <c r="M154" s="9" t="inlineStr">
        <is>
          <t>テーブル　800×400　及び　550×300</t>
        </is>
      </c>
      <c r="N154" s="9" t="inlineStr">
        <is>
          <t>テーブル</t>
        </is>
      </c>
      <c r="O154" s="9" t="n"/>
    </row>
    <row r="155">
      <c r="L155" s="9" t="inlineStr">
        <is>
          <t>356</t>
        </is>
      </c>
      <c r="M155" s="9" t="inlineStr">
        <is>
          <t>テーブル　900×450　及び　500×500八角</t>
        </is>
      </c>
      <c r="N155" s="9" t="inlineStr">
        <is>
          <t>テーブル</t>
        </is>
      </c>
      <c r="O155" s="9" t="n"/>
    </row>
    <row r="156">
      <c r="L156" s="9" t="inlineStr">
        <is>
          <t>357</t>
        </is>
      </c>
      <c r="M156" s="9" t="inlineStr">
        <is>
          <t>テーブル　700×450　及び　500×500八角</t>
        </is>
      </c>
      <c r="N156" s="9" t="inlineStr">
        <is>
          <t>テーブル</t>
        </is>
      </c>
      <c r="O156" s="9" t="n"/>
    </row>
    <row r="157">
      <c r="L157" s="9" t="inlineStr">
        <is>
          <t>358</t>
        </is>
      </c>
      <c r="M157" s="9" t="inlineStr">
        <is>
          <t>テーブル　600×270　及び　450×450</t>
        </is>
      </c>
      <c r="N157" s="9" t="inlineStr">
        <is>
          <t>テーブル</t>
        </is>
      </c>
      <c r="O157" s="9" t="n"/>
    </row>
    <row r="158">
      <c r="L158" s="9" t="inlineStr">
        <is>
          <t>359</t>
        </is>
      </c>
      <c r="M158" s="9" t="inlineStr">
        <is>
          <t>テーブル　650×400</t>
        </is>
      </c>
      <c r="N158" s="9" t="inlineStr">
        <is>
          <t>テーブル</t>
        </is>
      </c>
      <c r="O158" s="9" t="n"/>
    </row>
    <row r="159">
      <c r="L159" s="9" t="inlineStr">
        <is>
          <t>132</t>
        </is>
      </c>
      <c r="M159" s="9" t="inlineStr">
        <is>
          <t>リアゲート木製マルチハンガー</t>
        </is>
      </c>
      <c r="N159" s="9" t="inlineStr">
        <is>
          <t>家具</t>
        </is>
      </c>
      <c r="O159" s="9" t="n">
        <v>20000</v>
      </c>
    </row>
    <row r="160">
      <c r="L160" s="9" t="inlineStr">
        <is>
          <t>133</t>
        </is>
      </c>
      <c r="M160" s="9" t="inlineStr">
        <is>
          <t>二段ベット仕様</t>
        </is>
      </c>
      <c r="N160" s="9" t="inlineStr">
        <is>
          <t>家具</t>
        </is>
      </c>
      <c r="O160" s="9" t="n">
        <v>150000</v>
      </c>
    </row>
    <row r="161">
      <c r="L161" s="9" t="inlineStr">
        <is>
          <t>143</t>
        </is>
      </c>
      <c r="M161" s="9" t="inlineStr">
        <is>
          <t>ペット専用台ＴＡＲＯ（ハイエース専用）</t>
        </is>
      </c>
      <c r="N161" s="9" t="inlineStr">
        <is>
          <t>家具</t>
        </is>
      </c>
      <c r="O161" s="9" t="n">
        <v>58000</v>
      </c>
    </row>
    <row r="162">
      <c r="L162" s="9" t="inlineStr">
        <is>
          <t>144</t>
        </is>
      </c>
      <c r="M162" s="9" t="inlineStr">
        <is>
          <t>ペット専用台ＴＡＲＯ　ＥＸ　（ハイエース専用）</t>
        </is>
      </c>
      <c r="N162" s="9" t="inlineStr">
        <is>
          <t>家具</t>
        </is>
      </c>
      <c r="O162" s="9" t="n">
        <v>120000</v>
      </c>
    </row>
    <row r="163">
      <c r="L163" s="9" t="inlineStr">
        <is>
          <t>365</t>
        </is>
      </c>
      <c r="M163" s="9" t="inlineStr">
        <is>
          <t>1枚扉天袋</t>
        </is>
      </c>
      <c r="N163" s="9" t="inlineStr">
        <is>
          <t>家具</t>
        </is>
      </c>
      <c r="O163" s="9" t="n">
        <v>96000</v>
      </c>
    </row>
    <row r="164">
      <c r="L164" s="9" t="inlineStr">
        <is>
          <t>366</t>
        </is>
      </c>
      <c r="M164" s="9" t="inlineStr">
        <is>
          <t>2枚扉天袋</t>
        </is>
      </c>
      <c r="N164" s="9" t="inlineStr">
        <is>
          <t>家具</t>
        </is>
      </c>
      <c r="O164" s="9" t="n">
        <v>132000</v>
      </c>
    </row>
    <row r="165">
      <c r="L165" s="9" t="inlineStr">
        <is>
          <t>367</t>
        </is>
      </c>
      <c r="M165" s="9" t="inlineStr">
        <is>
          <t>3枚扉天袋</t>
        </is>
      </c>
      <c r="N165" s="9" t="inlineStr">
        <is>
          <t>家具</t>
        </is>
      </c>
      <c r="O165" s="9" t="n">
        <v>164000</v>
      </c>
    </row>
    <row r="166">
      <c r="L166" s="9" t="inlineStr">
        <is>
          <t>368</t>
        </is>
      </c>
      <c r="M166" s="9" t="inlineStr">
        <is>
          <t>4枚扉天袋</t>
        </is>
      </c>
      <c r="N166" s="9" t="inlineStr">
        <is>
          <t>家具</t>
        </is>
      </c>
      <c r="O166" s="9" t="n">
        <v>182000</v>
      </c>
    </row>
    <row r="167">
      <c r="L167" s="9" t="inlineStr">
        <is>
          <t>370</t>
        </is>
      </c>
      <c r="M167" s="9" t="inlineStr">
        <is>
          <t>収納家具追加　小</t>
        </is>
      </c>
      <c r="N167" s="9" t="inlineStr">
        <is>
          <t>家具</t>
        </is>
      </c>
      <c r="O167" s="9" t="n">
        <v>100000</v>
      </c>
    </row>
    <row r="168">
      <c r="L168" s="9" t="inlineStr">
        <is>
          <t>371</t>
        </is>
      </c>
      <c r="M168" s="9" t="inlineStr">
        <is>
          <t>収納家具追加　中</t>
        </is>
      </c>
      <c r="N168" s="9" t="inlineStr">
        <is>
          <t>家具</t>
        </is>
      </c>
      <c r="O168" s="9" t="n">
        <v>150000</v>
      </c>
    </row>
    <row r="169">
      <c r="L169" s="9" t="inlineStr">
        <is>
          <t>372</t>
        </is>
      </c>
      <c r="M169" s="9" t="inlineStr">
        <is>
          <t>収納家具追加　大</t>
        </is>
      </c>
      <c r="N169" s="9" t="inlineStr">
        <is>
          <t>家具</t>
        </is>
      </c>
      <c r="O169" s="9" t="n">
        <v>200000</v>
      </c>
    </row>
    <row r="170">
      <c r="L170" s="9" t="inlineStr">
        <is>
          <t>375</t>
        </is>
      </c>
      <c r="M170" s="9" t="inlineStr">
        <is>
          <t>家具変更　１か所</t>
        </is>
      </c>
      <c r="N170" s="9" t="inlineStr">
        <is>
          <t>家具</t>
        </is>
      </c>
      <c r="O170" s="9" t="n">
        <v>200000</v>
      </c>
    </row>
    <row r="171">
      <c r="L171" s="9" t="inlineStr">
        <is>
          <t>380</t>
        </is>
      </c>
      <c r="M171" s="9" t="inlineStr">
        <is>
          <t>キッチン天板</t>
        </is>
      </c>
      <c r="N171" s="9" t="inlineStr">
        <is>
          <t>家具</t>
        </is>
      </c>
      <c r="O171" s="9" t="n"/>
    </row>
    <row r="172">
      <c r="L172" s="9" t="inlineStr">
        <is>
          <t>381</t>
        </is>
      </c>
      <c r="M172" s="9" t="inlineStr">
        <is>
          <t>キッチン天板　木集成材</t>
        </is>
      </c>
      <c r="N172" s="9" t="inlineStr">
        <is>
          <t>家具</t>
        </is>
      </c>
      <c r="O172" s="9" t="n"/>
    </row>
    <row r="173">
      <c r="L173" s="9" t="inlineStr">
        <is>
          <t>382</t>
        </is>
      </c>
      <c r="M173" s="9" t="inlineStr">
        <is>
          <t>キッチン天板　白</t>
        </is>
      </c>
      <c r="N173" s="9" t="inlineStr">
        <is>
          <t>家具</t>
        </is>
      </c>
      <c r="O173" s="9" t="n"/>
    </row>
    <row r="174">
      <c r="L174" s="9" t="inlineStr">
        <is>
          <t>390</t>
        </is>
      </c>
      <c r="M174" s="9" t="inlineStr">
        <is>
          <t>レイアウト家具変更なし</t>
        </is>
      </c>
      <c r="N174" s="9" t="inlineStr">
        <is>
          <t>家具</t>
        </is>
      </c>
      <c r="O17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2025-12-03T12:09:56Z</dcterms:created>
  <dcterms:modified xsi:type="dcterms:W3CDTF">2025-12-03T12:09:56Z</dcterms:modified>
</cp:coreProperties>
</file>